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isha\Downloads\"/>
    </mc:Choice>
  </mc:AlternateContent>
  <xr:revisionPtr revIDLastSave="0" documentId="13_ncr:1_{518CB918-C426-40C9-90FE-5F0173136C01}" xr6:coauthVersionLast="47" xr6:coauthVersionMax="47" xr10:uidLastSave="{00000000-0000-0000-0000-000000000000}"/>
  <bookViews>
    <workbookView xWindow="-108" yWindow="-108" windowWidth="23256" windowHeight="13896" tabRatio="500" firstSheet="4" activeTab="4" xr2:uid="{00000000-000D-0000-FFFF-FFFF00000000}"/>
  </bookViews>
  <sheets>
    <sheet name="Task Brief" sheetId="1" r:id="rId1"/>
    <sheet name="Responses" sheetId="2" r:id="rId2"/>
    <sheet name="Gold Labels (evaluation)" sheetId="3" r:id="rId3"/>
    <sheet name="Data Dictionary" sheetId="4" r:id="rId4"/>
    <sheet name="AI Use Log" sheetId="5" r:id="rId5"/>
    <sheet name="Codebook" sheetId="6" r:id="rId6"/>
    <sheet name="Coded Responses" sheetId="7" r:id="rId7"/>
    <sheet name="Theme Counts" sheetId="8" r:id="rId8"/>
    <sheet name="Likert Summary" sheetId="9" r:id="rId9"/>
    <sheet name="Theme vs Likert" sheetId="10" r:id="rId10"/>
    <sheet name="Accuracy Check (50 rows)" sheetId="11" r:id="rId11"/>
  </sheets>
  <definedNames>
    <definedName name="_xlnm._FilterDatabase" localSheetId="10" hidden="1">'Accuracy Check (50 rows)'!$A$1:$G$51</definedName>
    <definedName name="_xlnm._FilterDatabase" localSheetId="6" hidden="1">'Coded Responses'!$A$1:$L$301</definedName>
    <definedName name="_xlnm._FilterDatabase" localSheetId="2" hidden="1">'Gold Labels (evaluation)'!$A$1:$C$301</definedName>
    <definedName name="_xlnm._FilterDatabase" localSheetId="1" hidden="1">Responses!$A$1:$J$301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6" i="9" l="1"/>
  <c r="E16" i="9"/>
  <c r="D16" i="9"/>
  <c r="C16" i="9"/>
  <c r="B16" i="9"/>
  <c r="F15" i="9"/>
  <c r="E15" i="9"/>
  <c r="D15" i="9"/>
  <c r="C15" i="9"/>
  <c r="B15" i="9"/>
  <c r="F14" i="9"/>
  <c r="E14" i="9"/>
  <c r="D14" i="9"/>
  <c r="C14" i="9"/>
  <c r="B14" i="9"/>
  <c r="F13" i="9"/>
  <c r="E13" i="9"/>
  <c r="D13" i="9"/>
  <c r="C13" i="9"/>
  <c r="B13" i="9"/>
  <c r="F12" i="9"/>
  <c r="E12" i="9"/>
  <c r="D12" i="9"/>
  <c r="C12" i="9"/>
  <c r="B12" i="9"/>
  <c r="F11" i="9"/>
  <c r="E11" i="9"/>
  <c r="D11" i="9"/>
  <c r="C11" i="9"/>
  <c r="B11" i="9"/>
  <c r="F10" i="9"/>
  <c r="E10" i="9"/>
  <c r="D10" i="9"/>
  <c r="C10" i="9"/>
  <c r="B10" i="9"/>
  <c r="D6" i="9"/>
  <c r="C6" i="9"/>
  <c r="B6" i="9"/>
  <c r="D5" i="9"/>
  <c r="C5" i="9"/>
  <c r="B5" i="9"/>
  <c r="D4" i="9"/>
  <c r="C4" i="9"/>
  <c r="B4" i="9"/>
  <c r="D3" i="9"/>
  <c r="C3" i="9"/>
  <c r="B3" i="9"/>
  <c r="D2" i="9"/>
  <c r="C2" i="9"/>
  <c r="B2" i="9"/>
  <c r="G18" i="8"/>
  <c r="F18" i="8"/>
  <c r="E18" i="8"/>
  <c r="D18" i="8"/>
  <c r="C18" i="8"/>
  <c r="B18" i="8"/>
  <c r="G17" i="8"/>
  <c r="F17" i="8"/>
  <c r="E17" i="8"/>
  <c r="D17" i="8"/>
  <c r="C17" i="8"/>
  <c r="B17" i="8"/>
  <c r="G16" i="8"/>
  <c r="F16" i="8"/>
  <c r="E16" i="8"/>
  <c r="D16" i="8"/>
  <c r="C16" i="8"/>
  <c r="B16" i="8"/>
  <c r="G15" i="8"/>
  <c r="F15" i="8"/>
  <c r="E15" i="8"/>
  <c r="D15" i="8"/>
  <c r="C15" i="8"/>
  <c r="B15" i="8"/>
  <c r="G14" i="8"/>
  <c r="F14" i="8"/>
  <c r="E14" i="8"/>
  <c r="D14" i="8"/>
  <c r="C14" i="8"/>
  <c r="B14" i="8"/>
  <c r="G13" i="8"/>
  <c r="F13" i="8"/>
  <c r="E13" i="8"/>
  <c r="D13" i="8"/>
  <c r="C13" i="8"/>
  <c r="B13" i="8"/>
  <c r="C7" i="8"/>
  <c r="B7" i="8"/>
  <c r="C6" i="8"/>
  <c r="B6" i="8"/>
  <c r="C5" i="8"/>
  <c r="B5" i="8"/>
  <c r="C4" i="8"/>
  <c r="B4" i="8"/>
  <c r="C3" i="8"/>
  <c r="B3" i="8"/>
  <c r="C2" i="8"/>
  <c r="B2" i="8"/>
  <c r="R301" i="7"/>
  <c r="Q301" i="7"/>
  <c r="P301" i="7"/>
  <c r="O301" i="7"/>
  <c r="N301" i="7"/>
  <c r="M301" i="7"/>
  <c r="R300" i="7"/>
  <c r="Q300" i="7"/>
  <c r="P300" i="7"/>
  <c r="O300" i="7"/>
  <c r="N300" i="7"/>
  <c r="M300" i="7"/>
  <c r="R299" i="7"/>
  <c r="Q299" i="7"/>
  <c r="P299" i="7"/>
  <c r="O299" i="7"/>
  <c r="N299" i="7"/>
  <c r="M299" i="7"/>
  <c r="R298" i="7"/>
  <c r="Q298" i="7"/>
  <c r="P298" i="7"/>
  <c r="O298" i="7"/>
  <c r="N298" i="7"/>
  <c r="M298" i="7"/>
  <c r="R297" i="7"/>
  <c r="Q297" i="7"/>
  <c r="P297" i="7"/>
  <c r="O297" i="7"/>
  <c r="N297" i="7"/>
  <c r="M297" i="7"/>
  <c r="R296" i="7"/>
  <c r="Q296" i="7"/>
  <c r="P296" i="7"/>
  <c r="O296" i="7"/>
  <c r="N296" i="7"/>
  <c r="M296" i="7"/>
  <c r="R295" i="7"/>
  <c r="Q295" i="7"/>
  <c r="P295" i="7"/>
  <c r="O295" i="7"/>
  <c r="N295" i="7"/>
  <c r="M295" i="7"/>
  <c r="R294" i="7"/>
  <c r="Q294" i="7"/>
  <c r="P294" i="7"/>
  <c r="O294" i="7"/>
  <c r="N294" i="7"/>
  <c r="M294" i="7"/>
  <c r="R293" i="7"/>
  <c r="Q293" i="7"/>
  <c r="P293" i="7"/>
  <c r="O293" i="7"/>
  <c r="N293" i="7"/>
  <c r="M293" i="7"/>
  <c r="R292" i="7"/>
  <c r="Q292" i="7"/>
  <c r="P292" i="7"/>
  <c r="O292" i="7"/>
  <c r="N292" i="7"/>
  <c r="M292" i="7"/>
  <c r="R291" i="7"/>
  <c r="Q291" i="7"/>
  <c r="P291" i="7"/>
  <c r="O291" i="7"/>
  <c r="N291" i="7"/>
  <c r="M291" i="7"/>
  <c r="R290" i="7"/>
  <c r="Q290" i="7"/>
  <c r="P290" i="7"/>
  <c r="O290" i="7"/>
  <c r="N290" i="7"/>
  <c r="M290" i="7"/>
  <c r="R289" i="7"/>
  <c r="Q289" i="7"/>
  <c r="P289" i="7"/>
  <c r="O289" i="7"/>
  <c r="N289" i="7"/>
  <c r="M289" i="7"/>
  <c r="R288" i="7"/>
  <c r="Q288" i="7"/>
  <c r="P288" i="7"/>
  <c r="O288" i="7"/>
  <c r="N288" i="7"/>
  <c r="M288" i="7"/>
  <c r="R287" i="7"/>
  <c r="Q287" i="7"/>
  <c r="P287" i="7"/>
  <c r="O287" i="7"/>
  <c r="N287" i="7"/>
  <c r="M287" i="7"/>
  <c r="R286" i="7"/>
  <c r="Q286" i="7"/>
  <c r="P286" i="7"/>
  <c r="O286" i="7"/>
  <c r="N286" i="7"/>
  <c r="M286" i="7"/>
  <c r="R285" i="7"/>
  <c r="Q285" i="7"/>
  <c r="P285" i="7"/>
  <c r="O285" i="7"/>
  <c r="N285" i="7"/>
  <c r="M285" i="7"/>
  <c r="R284" i="7"/>
  <c r="Q284" i="7"/>
  <c r="P284" i="7"/>
  <c r="O284" i="7"/>
  <c r="N284" i="7"/>
  <c r="M284" i="7"/>
  <c r="R283" i="7"/>
  <c r="Q283" i="7"/>
  <c r="P283" i="7"/>
  <c r="O283" i="7"/>
  <c r="N283" i="7"/>
  <c r="M283" i="7"/>
  <c r="R282" i="7"/>
  <c r="Q282" i="7"/>
  <c r="P282" i="7"/>
  <c r="O282" i="7"/>
  <c r="N282" i="7"/>
  <c r="M282" i="7"/>
  <c r="R281" i="7"/>
  <c r="Q281" i="7"/>
  <c r="P281" i="7"/>
  <c r="O281" i="7"/>
  <c r="N281" i="7"/>
  <c r="M281" i="7"/>
  <c r="R280" i="7"/>
  <c r="Q280" i="7"/>
  <c r="P280" i="7"/>
  <c r="O280" i="7"/>
  <c r="N280" i="7"/>
  <c r="M280" i="7"/>
  <c r="R279" i="7"/>
  <c r="Q279" i="7"/>
  <c r="P279" i="7"/>
  <c r="O279" i="7"/>
  <c r="N279" i="7"/>
  <c r="M279" i="7"/>
  <c r="R278" i="7"/>
  <c r="Q278" i="7"/>
  <c r="P278" i="7"/>
  <c r="O278" i="7"/>
  <c r="N278" i="7"/>
  <c r="M278" i="7"/>
  <c r="R277" i="7"/>
  <c r="Q277" i="7"/>
  <c r="P277" i="7"/>
  <c r="O277" i="7"/>
  <c r="N277" i="7"/>
  <c r="M277" i="7"/>
  <c r="R276" i="7"/>
  <c r="Q276" i="7"/>
  <c r="P276" i="7"/>
  <c r="O276" i="7"/>
  <c r="N276" i="7"/>
  <c r="M276" i="7"/>
  <c r="R275" i="7"/>
  <c r="Q275" i="7"/>
  <c r="P275" i="7"/>
  <c r="O275" i="7"/>
  <c r="N275" i="7"/>
  <c r="M275" i="7"/>
  <c r="R274" i="7"/>
  <c r="Q274" i="7"/>
  <c r="P274" i="7"/>
  <c r="O274" i="7"/>
  <c r="N274" i="7"/>
  <c r="M274" i="7"/>
  <c r="R273" i="7"/>
  <c r="Q273" i="7"/>
  <c r="P273" i="7"/>
  <c r="O273" i="7"/>
  <c r="N273" i="7"/>
  <c r="M273" i="7"/>
  <c r="R272" i="7"/>
  <c r="Q272" i="7"/>
  <c r="P272" i="7"/>
  <c r="O272" i="7"/>
  <c r="N272" i="7"/>
  <c r="M272" i="7"/>
  <c r="R271" i="7"/>
  <c r="Q271" i="7"/>
  <c r="P271" i="7"/>
  <c r="O271" i="7"/>
  <c r="N271" i="7"/>
  <c r="M271" i="7"/>
  <c r="R270" i="7"/>
  <c r="Q270" i="7"/>
  <c r="P270" i="7"/>
  <c r="O270" i="7"/>
  <c r="N270" i="7"/>
  <c r="M270" i="7"/>
  <c r="R269" i="7"/>
  <c r="Q269" i="7"/>
  <c r="P269" i="7"/>
  <c r="O269" i="7"/>
  <c r="N269" i="7"/>
  <c r="M269" i="7"/>
  <c r="R268" i="7"/>
  <c r="Q268" i="7"/>
  <c r="P268" i="7"/>
  <c r="O268" i="7"/>
  <c r="N268" i="7"/>
  <c r="M268" i="7"/>
  <c r="R267" i="7"/>
  <c r="Q267" i="7"/>
  <c r="P267" i="7"/>
  <c r="O267" i="7"/>
  <c r="N267" i="7"/>
  <c r="M267" i="7"/>
  <c r="R266" i="7"/>
  <c r="Q266" i="7"/>
  <c r="P266" i="7"/>
  <c r="O266" i="7"/>
  <c r="N266" i="7"/>
  <c r="M266" i="7"/>
  <c r="R265" i="7"/>
  <c r="Q265" i="7"/>
  <c r="P265" i="7"/>
  <c r="O265" i="7"/>
  <c r="N265" i="7"/>
  <c r="M265" i="7"/>
  <c r="R264" i="7"/>
  <c r="Q264" i="7"/>
  <c r="P264" i="7"/>
  <c r="O264" i="7"/>
  <c r="N264" i="7"/>
  <c r="M264" i="7"/>
  <c r="R263" i="7"/>
  <c r="Q263" i="7"/>
  <c r="P263" i="7"/>
  <c r="O263" i="7"/>
  <c r="N263" i="7"/>
  <c r="M263" i="7"/>
  <c r="R262" i="7"/>
  <c r="Q262" i="7"/>
  <c r="P262" i="7"/>
  <c r="O262" i="7"/>
  <c r="N262" i="7"/>
  <c r="M262" i="7"/>
  <c r="R261" i="7"/>
  <c r="Q261" i="7"/>
  <c r="P261" i="7"/>
  <c r="O261" i="7"/>
  <c r="N261" i="7"/>
  <c r="M261" i="7"/>
  <c r="R260" i="7"/>
  <c r="Q260" i="7"/>
  <c r="P260" i="7"/>
  <c r="O260" i="7"/>
  <c r="N260" i="7"/>
  <c r="M260" i="7"/>
  <c r="R259" i="7"/>
  <c r="Q259" i="7"/>
  <c r="P259" i="7"/>
  <c r="O259" i="7"/>
  <c r="N259" i="7"/>
  <c r="M259" i="7"/>
  <c r="R258" i="7"/>
  <c r="Q258" i="7"/>
  <c r="P258" i="7"/>
  <c r="O258" i="7"/>
  <c r="N258" i="7"/>
  <c r="M258" i="7"/>
  <c r="R257" i="7"/>
  <c r="Q257" i="7"/>
  <c r="P257" i="7"/>
  <c r="O257" i="7"/>
  <c r="N257" i="7"/>
  <c r="M257" i="7"/>
  <c r="R256" i="7"/>
  <c r="Q256" i="7"/>
  <c r="P256" i="7"/>
  <c r="O256" i="7"/>
  <c r="N256" i="7"/>
  <c r="M256" i="7"/>
  <c r="R255" i="7"/>
  <c r="Q255" i="7"/>
  <c r="P255" i="7"/>
  <c r="O255" i="7"/>
  <c r="N255" i="7"/>
  <c r="M255" i="7"/>
  <c r="R254" i="7"/>
  <c r="Q254" i="7"/>
  <c r="P254" i="7"/>
  <c r="O254" i="7"/>
  <c r="N254" i="7"/>
  <c r="M254" i="7"/>
  <c r="R253" i="7"/>
  <c r="Q253" i="7"/>
  <c r="P253" i="7"/>
  <c r="O253" i="7"/>
  <c r="N253" i="7"/>
  <c r="M253" i="7"/>
  <c r="R252" i="7"/>
  <c r="Q252" i="7"/>
  <c r="P252" i="7"/>
  <c r="O252" i="7"/>
  <c r="N252" i="7"/>
  <c r="M252" i="7"/>
  <c r="R251" i="7"/>
  <c r="Q251" i="7"/>
  <c r="P251" i="7"/>
  <c r="O251" i="7"/>
  <c r="N251" i="7"/>
  <c r="M251" i="7"/>
  <c r="R250" i="7"/>
  <c r="Q250" i="7"/>
  <c r="P250" i="7"/>
  <c r="O250" i="7"/>
  <c r="N250" i="7"/>
  <c r="M250" i="7"/>
  <c r="R249" i="7"/>
  <c r="Q249" i="7"/>
  <c r="P249" i="7"/>
  <c r="O249" i="7"/>
  <c r="N249" i="7"/>
  <c r="M249" i="7"/>
  <c r="R248" i="7"/>
  <c r="Q248" i="7"/>
  <c r="P248" i="7"/>
  <c r="O248" i="7"/>
  <c r="N248" i="7"/>
  <c r="M248" i="7"/>
  <c r="R247" i="7"/>
  <c r="Q247" i="7"/>
  <c r="P247" i="7"/>
  <c r="O247" i="7"/>
  <c r="N247" i="7"/>
  <c r="M247" i="7"/>
  <c r="R246" i="7"/>
  <c r="Q246" i="7"/>
  <c r="P246" i="7"/>
  <c r="O246" i="7"/>
  <c r="N246" i="7"/>
  <c r="M246" i="7"/>
  <c r="R245" i="7"/>
  <c r="Q245" i="7"/>
  <c r="P245" i="7"/>
  <c r="O245" i="7"/>
  <c r="N245" i="7"/>
  <c r="M245" i="7"/>
  <c r="R244" i="7"/>
  <c r="Q244" i="7"/>
  <c r="P244" i="7"/>
  <c r="O244" i="7"/>
  <c r="N244" i="7"/>
  <c r="M244" i="7"/>
  <c r="R243" i="7"/>
  <c r="Q243" i="7"/>
  <c r="P243" i="7"/>
  <c r="O243" i="7"/>
  <c r="N243" i="7"/>
  <c r="M243" i="7"/>
  <c r="R242" i="7"/>
  <c r="Q242" i="7"/>
  <c r="P242" i="7"/>
  <c r="O242" i="7"/>
  <c r="N242" i="7"/>
  <c r="M242" i="7"/>
  <c r="R241" i="7"/>
  <c r="Q241" i="7"/>
  <c r="P241" i="7"/>
  <c r="O241" i="7"/>
  <c r="N241" i="7"/>
  <c r="M241" i="7"/>
  <c r="R240" i="7"/>
  <c r="Q240" i="7"/>
  <c r="P240" i="7"/>
  <c r="O240" i="7"/>
  <c r="N240" i="7"/>
  <c r="M240" i="7"/>
  <c r="R239" i="7"/>
  <c r="Q239" i="7"/>
  <c r="P239" i="7"/>
  <c r="O239" i="7"/>
  <c r="N239" i="7"/>
  <c r="M239" i="7"/>
  <c r="R238" i="7"/>
  <c r="Q238" i="7"/>
  <c r="P238" i="7"/>
  <c r="O238" i="7"/>
  <c r="N238" i="7"/>
  <c r="M238" i="7"/>
  <c r="R237" i="7"/>
  <c r="Q237" i="7"/>
  <c r="P237" i="7"/>
  <c r="O237" i="7"/>
  <c r="N237" i="7"/>
  <c r="M237" i="7"/>
  <c r="R236" i="7"/>
  <c r="Q236" i="7"/>
  <c r="P236" i="7"/>
  <c r="O236" i="7"/>
  <c r="N236" i="7"/>
  <c r="M236" i="7"/>
  <c r="R235" i="7"/>
  <c r="Q235" i="7"/>
  <c r="P235" i="7"/>
  <c r="O235" i="7"/>
  <c r="N235" i="7"/>
  <c r="M235" i="7"/>
  <c r="R234" i="7"/>
  <c r="Q234" i="7"/>
  <c r="P234" i="7"/>
  <c r="O234" i="7"/>
  <c r="N234" i="7"/>
  <c r="M234" i="7"/>
  <c r="R233" i="7"/>
  <c r="Q233" i="7"/>
  <c r="P233" i="7"/>
  <c r="O233" i="7"/>
  <c r="N233" i="7"/>
  <c r="M233" i="7"/>
  <c r="R232" i="7"/>
  <c r="Q232" i="7"/>
  <c r="P232" i="7"/>
  <c r="O232" i="7"/>
  <c r="N232" i="7"/>
  <c r="M232" i="7"/>
  <c r="R231" i="7"/>
  <c r="Q231" i="7"/>
  <c r="P231" i="7"/>
  <c r="O231" i="7"/>
  <c r="N231" i="7"/>
  <c r="M231" i="7"/>
  <c r="R230" i="7"/>
  <c r="Q230" i="7"/>
  <c r="P230" i="7"/>
  <c r="O230" i="7"/>
  <c r="N230" i="7"/>
  <c r="M230" i="7"/>
  <c r="R229" i="7"/>
  <c r="Q229" i="7"/>
  <c r="P229" i="7"/>
  <c r="O229" i="7"/>
  <c r="N229" i="7"/>
  <c r="M229" i="7"/>
  <c r="R228" i="7"/>
  <c r="Q228" i="7"/>
  <c r="P228" i="7"/>
  <c r="O228" i="7"/>
  <c r="N228" i="7"/>
  <c r="M228" i="7"/>
  <c r="R227" i="7"/>
  <c r="Q227" i="7"/>
  <c r="P227" i="7"/>
  <c r="O227" i="7"/>
  <c r="N227" i="7"/>
  <c r="M227" i="7"/>
  <c r="R226" i="7"/>
  <c r="Q226" i="7"/>
  <c r="P226" i="7"/>
  <c r="O226" i="7"/>
  <c r="N226" i="7"/>
  <c r="M226" i="7"/>
  <c r="R225" i="7"/>
  <c r="Q225" i="7"/>
  <c r="P225" i="7"/>
  <c r="O225" i="7"/>
  <c r="N225" i="7"/>
  <c r="M225" i="7"/>
  <c r="R224" i="7"/>
  <c r="Q224" i="7"/>
  <c r="P224" i="7"/>
  <c r="O224" i="7"/>
  <c r="N224" i="7"/>
  <c r="M224" i="7"/>
  <c r="R223" i="7"/>
  <c r="Q223" i="7"/>
  <c r="P223" i="7"/>
  <c r="O223" i="7"/>
  <c r="N223" i="7"/>
  <c r="M223" i="7"/>
  <c r="R222" i="7"/>
  <c r="Q222" i="7"/>
  <c r="P222" i="7"/>
  <c r="O222" i="7"/>
  <c r="N222" i="7"/>
  <c r="M222" i="7"/>
  <c r="R221" i="7"/>
  <c r="Q221" i="7"/>
  <c r="P221" i="7"/>
  <c r="O221" i="7"/>
  <c r="N221" i="7"/>
  <c r="M221" i="7"/>
  <c r="R220" i="7"/>
  <c r="Q220" i="7"/>
  <c r="P220" i="7"/>
  <c r="O220" i="7"/>
  <c r="N220" i="7"/>
  <c r="M220" i="7"/>
  <c r="R219" i="7"/>
  <c r="Q219" i="7"/>
  <c r="P219" i="7"/>
  <c r="O219" i="7"/>
  <c r="N219" i="7"/>
  <c r="M219" i="7"/>
  <c r="R218" i="7"/>
  <c r="Q218" i="7"/>
  <c r="P218" i="7"/>
  <c r="O218" i="7"/>
  <c r="N218" i="7"/>
  <c r="M218" i="7"/>
  <c r="R217" i="7"/>
  <c r="Q217" i="7"/>
  <c r="P217" i="7"/>
  <c r="O217" i="7"/>
  <c r="N217" i="7"/>
  <c r="M217" i="7"/>
  <c r="R216" i="7"/>
  <c r="Q216" i="7"/>
  <c r="P216" i="7"/>
  <c r="O216" i="7"/>
  <c r="N216" i="7"/>
  <c r="M216" i="7"/>
  <c r="R215" i="7"/>
  <c r="Q215" i="7"/>
  <c r="P215" i="7"/>
  <c r="O215" i="7"/>
  <c r="N215" i="7"/>
  <c r="M215" i="7"/>
  <c r="R214" i="7"/>
  <c r="Q214" i="7"/>
  <c r="P214" i="7"/>
  <c r="O214" i="7"/>
  <c r="N214" i="7"/>
  <c r="M214" i="7"/>
  <c r="R213" i="7"/>
  <c r="Q213" i="7"/>
  <c r="P213" i="7"/>
  <c r="O213" i="7"/>
  <c r="N213" i="7"/>
  <c r="M213" i="7"/>
  <c r="R212" i="7"/>
  <c r="Q212" i="7"/>
  <c r="P212" i="7"/>
  <c r="O212" i="7"/>
  <c r="N212" i="7"/>
  <c r="M212" i="7"/>
  <c r="R211" i="7"/>
  <c r="Q211" i="7"/>
  <c r="P211" i="7"/>
  <c r="O211" i="7"/>
  <c r="N211" i="7"/>
  <c r="M211" i="7"/>
  <c r="R210" i="7"/>
  <c r="Q210" i="7"/>
  <c r="P210" i="7"/>
  <c r="O210" i="7"/>
  <c r="N210" i="7"/>
  <c r="M210" i="7"/>
  <c r="R209" i="7"/>
  <c r="Q209" i="7"/>
  <c r="P209" i="7"/>
  <c r="O209" i="7"/>
  <c r="N209" i="7"/>
  <c r="M209" i="7"/>
  <c r="R208" i="7"/>
  <c r="Q208" i="7"/>
  <c r="P208" i="7"/>
  <c r="O208" i="7"/>
  <c r="N208" i="7"/>
  <c r="M208" i="7"/>
  <c r="R207" i="7"/>
  <c r="Q207" i="7"/>
  <c r="P207" i="7"/>
  <c r="O207" i="7"/>
  <c r="N207" i="7"/>
  <c r="M207" i="7"/>
  <c r="R206" i="7"/>
  <c r="Q206" i="7"/>
  <c r="P206" i="7"/>
  <c r="O206" i="7"/>
  <c r="N206" i="7"/>
  <c r="M206" i="7"/>
  <c r="R205" i="7"/>
  <c r="Q205" i="7"/>
  <c r="P205" i="7"/>
  <c r="O205" i="7"/>
  <c r="N205" i="7"/>
  <c r="M205" i="7"/>
  <c r="R204" i="7"/>
  <c r="Q204" i="7"/>
  <c r="P204" i="7"/>
  <c r="O204" i="7"/>
  <c r="N204" i="7"/>
  <c r="M204" i="7"/>
  <c r="R203" i="7"/>
  <c r="Q203" i="7"/>
  <c r="P203" i="7"/>
  <c r="O203" i="7"/>
  <c r="N203" i="7"/>
  <c r="M203" i="7"/>
  <c r="R202" i="7"/>
  <c r="Q202" i="7"/>
  <c r="P202" i="7"/>
  <c r="O202" i="7"/>
  <c r="N202" i="7"/>
  <c r="M202" i="7"/>
  <c r="R201" i="7"/>
  <c r="Q201" i="7"/>
  <c r="P201" i="7"/>
  <c r="O201" i="7"/>
  <c r="N201" i="7"/>
  <c r="M201" i="7"/>
  <c r="R200" i="7"/>
  <c r="Q200" i="7"/>
  <c r="P200" i="7"/>
  <c r="O200" i="7"/>
  <c r="N200" i="7"/>
  <c r="M200" i="7"/>
  <c r="R199" i="7"/>
  <c r="Q199" i="7"/>
  <c r="P199" i="7"/>
  <c r="O199" i="7"/>
  <c r="N199" i="7"/>
  <c r="M199" i="7"/>
  <c r="R198" i="7"/>
  <c r="Q198" i="7"/>
  <c r="P198" i="7"/>
  <c r="O198" i="7"/>
  <c r="N198" i="7"/>
  <c r="M198" i="7"/>
  <c r="R197" i="7"/>
  <c r="Q197" i="7"/>
  <c r="P197" i="7"/>
  <c r="O197" i="7"/>
  <c r="N197" i="7"/>
  <c r="M197" i="7"/>
  <c r="R196" i="7"/>
  <c r="Q196" i="7"/>
  <c r="P196" i="7"/>
  <c r="O196" i="7"/>
  <c r="N196" i="7"/>
  <c r="M196" i="7"/>
  <c r="R195" i="7"/>
  <c r="Q195" i="7"/>
  <c r="P195" i="7"/>
  <c r="O195" i="7"/>
  <c r="N195" i="7"/>
  <c r="M195" i="7"/>
  <c r="R194" i="7"/>
  <c r="Q194" i="7"/>
  <c r="P194" i="7"/>
  <c r="O194" i="7"/>
  <c r="N194" i="7"/>
  <c r="M194" i="7"/>
  <c r="R193" i="7"/>
  <c r="Q193" i="7"/>
  <c r="P193" i="7"/>
  <c r="O193" i="7"/>
  <c r="N193" i="7"/>
  <c r="M193" i="7"/>
  <c r="R192" i="7"/>
  <c r="Q192" i="7"/>
  <c r="P192" i="7"/>
  <c r="O192" i="7"/>
  <c r="N192" i="7"/>
  <c r="M192" i="7"/>
  <c r="R191" i="7"/>
  <c r="Q191" i="7"/>
  <c r="P191" i="7"/>
  <c r="O191" i="7"/>
  <c r="N191" i="7"/>
  <c r="M191" i="7"/>
  <c r="R190" i="7"/>
  <c r="Q190" i="7"/>
  <c r="P190" i="7"/>
  <c r="O190" i="7"/>
  <c r="N190" i="7"/>
  <c r="M190" i="7"/>
  <c r="R189" i="7"/>
  <c r="Q189" i="7"/>
  <c r="P189" i="7"/>
  <c r="O189" i="7"/>
  <c r="N189" i="7"/>
  <c r="M189" i="7"/>
  <c r="R188" i="7"/>
  <c r="Q188" i="7"/>
  <c r="P188" i="7"/>
  <c r="O188" i="7"/>
  <c r="N188" i="7"/>
  <c r="M188" i="7"/>
  <c r="R187" i="7"/>
  <c r="Q187" i="7"/>
  <c r="P187" i="7"/>
  <c r="O187" i="7"/>
  <c r="N187" i="7"/>
  <c r="M187" i="7"/>
  <c r="R186" i="7"/>
  <c r="Q186" i="7"/>
  <c r="P186" i="7"/>
  <c r="O186" i="7"/>
  <c r="N186" i="7"/>
  <c r="M186" i="7"/>
  <c r="R185" i="7"/>
  <c r="Q185" i="7"/>
  <c r="P185" i="7"/>
  <c r="O185" i="7"/>
  <c r="N185" i="7"/>
  <c r="M185" i="7"/>
  <c r="R184" i="7"/>
  <c r="Q184" i="7"/>
  <c r="P184" i="7"/>
  <c r="O184" i="7"/>
  <c r="N184" i="7"/>
  <c r="M184" i="7"/>
  <c r="R183" i="7"/>
  <c r="Q183" i="7"/>
  <c r="P183" i="7"/>
  <c r="O183" i="7"/>
  <c r="N183" i="7"/>
  <c r="M183" i="7"/>
  <c r="R182" i="7"/>
  <c r="Q182" i="7"/>
  <c r="P182" i="7"/>
  <c r="O182" i="7"/>
  <c r="N182" i="7"/>
  <c r="M182" i="7"/>
  <c r="R181" i="7"/>
  <c r="Q181" i="7"/>
  <c r="P181" i="7"/>
  <c r="O181" i="7"/>
  <c r="N181" i="7"/>
  <c r="M181" i="7"/>
  <c r="R180" i="7"/>
  <c r="Q180" i="7"/>
  <c r="P180" i="7"/>
  <c r="O180" i="7"/>
  <c r="N180" i="7"/>
  <c r="M180" i="7"/>
  <c r="R179" i="7"/>
  <c r="Q179" i="7"/>
  <c r="P179" i="7"/>
  <c r="O179" i="7"/>
  <c r="N179" i="7"/>
  <c r="M179" i="7"/>
  <c r="R178" i="7"/>
  <c r="Q178" i="7"/>
  <c r="P178" i="7"/>
  <c r="O178" i="7"/>
  <c r="N178" i="7"/>
  <c r="M178" i="7"/>
  <c r="R177" i="7"/>
  <c r="Q177" i="7"/>
  <c r="P177" i="7"/>
  <c r="O177" i="7"/>
  <c r="N177" i="7"/>
  <c r="M177" i="7"/>
  <c r="R176" i="7"/>
  <c r="Q176" i="7"/>
  <c r="P176" i="7"/>
  <c r="O176" i="7"/>
  <c r="N176" i="7"/>
  <c r="M176" i="7"/>
  <c r="R175" i="7"/>
  <c r="Q175" i="7"/>
  <c r="P175" i="7"/>
  <c r="O175" i="7"/>
  <c r="N175" i="7"/>
  <c r="M175" i="7"/>
  <c r="R174" i="7"/>
  <c r="Q174" i="7"/>
  <c r="P174" i="7"/>
  <c r="O174" i="7"/>
  <c r="N174" i="7"/>
  <c r="M174" i="7"/>
  <c r="R173" i="7"/>
  <c r="Q173" i="7"/>
  <c r="P173" i="7"/>
  <c r="O173" i="7"/>
  <c r="N173" i="7"/>
  <c r="M173" i="7"/>
  <c r="R172" i="7"/>
  <c r="Q172" i="7"/>
  <c r="P172" i="7"/>
  <c r="O172" i="7"/>
  <c r="N172" i="7"/>
  <c r="M172" i="7"/>
  <c r="R171" i="7"/>
  <c r="Q171" i="7"/>
  <c r="P171" i="7"/>
  <c r="O171" i="7"/>
  <c r="N171" i="7"/>
  <c r="M171" i="7"/>
  <c r="R170" i="7"/>
  <c r="Q170" i="7"/>
  <c r="P170" i="7"/>
  <c r="O170" i="7"/>
  <c r="N170" i="7"/>
  <c r="M170" i="7"/>
  <c r="R169" i="7"/>
  <c r="Q169" i="7"/>
  <c r="P169" i="7"/>
  <c r="O169" i="7"/>
  <c r="N169" i="7"/>
  <c r="M169" i="7"/>
  <c r="R168" i="7"/>
  <c r="Q168" i="7"/>
  <c r="P168" i="7"/>
  <c r="O168" i="7"/>
  <c r="N168" i="7"/>
  <c r="M168" i="7"/>
  <c r="R167" i="7"/>
  <c r="Q167" i="7"/>
  <c r="P167" i="7"/>
  <c r="O167" i="7"/>
  <c r="N167" i="7"/>
  <c r="M167" i="7"/>
  <c r="R166" i="7"/>
  <c r="Q166" i="7"/>
  <c r="P166" i="7"/>
  <c r="O166" i="7"/>
  <c r="N166" i="7"/>
  <c r="M166" i="7"/>
  <c r="R165" i="7"/>
  <c r="Q165" i="7"/>
  <c r="P165" i="7"/>
  <c r="O165" i="7"/>
  <c r="N165" i="7"/>
  <c r="M165" i="7"/>
  <c r="R164" i="7"/>
  <c r="Q164" i="7"/>
  <c r="P164" i="7"/>
  <c r="O164" i="7"/>
  <c r="N164" i="7"/>
  <c r="M164" i="7"/>
  <c r="R163" i="7"/>
  <c r="Q163" i="7"/>
  <c r="P163" i="7"/>
  <c r="O163" i="7"/>
  <c r="N163" i="7"/>
  <c r="M163" i="7"/>
  <c r="R162" i="7"/>
  <c r="Q162" i="7"/>
  <c r="P162" i="7"/>
  <c r="O162" i="7"/>
  <c r="N162" i="7"/>
  <c r="M162" i="7"/>
  <c r="R161" i="7"/>
  <c r="Q161" i="7"/>
  <c r="P161" i="7"/>
  <c r="O161" i="7"/>
  <c r="N161" i="7"/>
  <c r="M161" i="7"/>
  <c r="R160" i="7"/>
  <c r="Q160" i="7"/>
  <c r="P160" i="7"/>
  <c r="O160" i="7"/>
  <c r="N160" i="7"/>
  <c r="M160" i="7"/>
  <c r="R159" i="7"/>
  <c r="Q159" i="7"/>
  <c r="P159" i="7"/>
  <c r="O159" i="7"/>
  <c r="N159" i="7"/>
  <c r="M159" i="7"/>
  <c r="R158" i="7"/>
  <c r="Q158" i="7"/>
  <c r="P158" i="7"/>
  <c r="O158" i="7"/>
  <c r="N158" i="7"/>
  <c r="M158" i="7"/>
  <c r="R157" i="7"/>
  <c r="Q157" i="7"/>
  <c r="P157" i="7"/>
  <c r="O157" i="7"/>
  <c r="N157" i="7"/>
  <c r="M157" i="7"/>
  <c r="R156" i="7"/>
  <c r="Q156" i="7"/>
  <c r="P156" i="7"/>
  <c r="O156" i="7"/>
  <c r="N156" i="7"/>
  <c r="M156" i="7"/>
  <c r="R155" i="7"/>
  <c r="Q155" i="7"/>
  <c r="P155" i="7"/>
  <c r="O155" i="7"/>
  <c r="N155" i="7"/>
  <c r="M155" i="7"/>
  <c r="R154" i="7"/>
  <c r="Q154" i="7"/>
  <c r="P154" i="7"/>
  <c r="O154" i="7"/>
  <c r="N154" i="7"/>
  <c r="M154" i="7"/>
  <c r="R153" i="7"/>
  <c r="Q153" i="7"/>
  <c r="P153" i="7"/>
  <c r="O153" i="7"/>
  <c r="N153" i="7"/>
  <c r="M153" i="7"/>
  <c r="R152" i="7"/>
  <c r="Q152" i="7"/>
  <c r="P152" i="7"/>
  <c r="O152" i="7"/>
  <c r="N152" i="7"/>
  <c r="M152" i="7"/>
  <c r="R151" i="7"/>
  <c r="Q151" i="7"/>
  <c r="P151" i="7"/>
  <c r="O151" i="7"/>
  <c r="N151" i="7"/>
  <c r="M151" i="7"/>
  <c r="R150" i="7"/>
  <c r="Q150" i="7"/>
  <c r="P150" i="7"/>
  <c r="O150" i="7"/>
  <c r="N150" i="7"/>
  <c r="M150" i="7"/>
  <c r="R149" i="7"/>
  <c r="Q149" i="7"/>
  <c r="P149" i="7"/>
  <c r="O149" i="7"/>
  <c r="N149" i="7"/>
  <c r="M149" i="7"/>
  <c r="R148" i="7"/>
  <c r="Q148" i="7"/>
  <c r="P148" i="7"/>
  <c r="O148" i="7"/>
  <c r="N148" i="7"/>
  <c r="M148" i="7"/>
  <c r="R147" i="7"/>
  <c r="Q147" i="7"/>
  <c r="P147" i="7"/>
  <c r="O147" i="7"/>
  <c r="N147" i="7"/>
  <c r="M147" i="7"/>
  <c r="R146" i="7"/>
  <c r="Q146" i="7"/>
  <c r="P146" i="7"/>
  <c r="O146" i="7"/>
  <c r="N146" i="7"/>
  <c r="M146" i="7"/>
  <c r="R145" i="7"/>
  <c r="Q145" i="7"/>
  <c r="P145" i="7"/>
  <c r="O145" i="7"/>
  <c r="N145" i="7"/>
  <c r="M145" i="7"/>
  <c r="R144" i="7"/>
  <c r="Q144" i="7"/>
  <c r="P144" i="7"/>
  <c r="O144" i="7"/>
  <c r="N144" i="7"/>
  <c r="M144" i="7"/>
  <c r="R143" i="7"/>
  <c r="Q143" i="7"/>
  <c r="P143" i="7"/>
  <c r="O143" i="7"/>
  <c r="N143" i="7"/>
  <c r="M143" i="7"/>
  <c r="R142" i="7"/>
  <c r="Q142" i="7"/>
  <c r="P142" i="7"/>
  <c r="O142" i="7"/>
  <c r="N142" i="7"/>
  <c r="M142" i="7"/>
  <c r="R141" i="7"/>
  <c r="Q141" i="7"/>
  <c r="P141" i="7"/>
  <c r="O141" i="7"/>
  <c r="N141" i="7"/>
  <c r="M141" i="7"/>
  <c r="R140" i="7"/>
  <c r="Q140" i="7"/>
  <c r="P140" i="7"/>
  <c r="O140" i="7"/>
  <c r="N140" i="7"/>
  <c r="M140" i="7"/>
  <c r="R139" i="7"/>
  <c r="Q139" i="7"/>
  <c r="P139" i="7"/>
  <c r="O139" i="7"/>
  <c r="N139" i="7"/>
  <c r="M139" i="7"/>
  <c r="R138" i="7"/>
  <c r="Q138" i="7"/>
  <c r="P138" i="7"/>
  <c r="O138" i="7"/>
  <c r="N138" i="7"/>
  <c r="M138" i="7"/>
  <c r="R137" i="7"/>
  <c r="Q137" i="7"/>
  <c r="P137" i="7"/>
  <c r="O137" i="7"/>
  <c r="N137" i="7"/>
  <c r="M137" i="7"/>
  <c r="R136" i="7"/>
  <c r="Q136" i="7"/>
  <c r="P136" i="7"/>
  <c r="O136" i="7"/>
  <c r="N136" i="7"/>
  <c r="M136" i="7"/>
  <c r="R135" i="7"/>
  <c r="Q135" i="7"/>
  <c r="P135" i="7"/>
  <c r="O135" i="7"/>
  <c r="N135" i="7"/>
  <c r="M135" i="7"/>
  <c r="R134" i="7"/>
  <c r="Q134" i="7"/>
  <c r="P134" i="7"/>
  <c r="O134" i="7"/>
  <c r="N134" i="7"/>
  <c r="M134" i="7"/>
  <c r="R133" i="7"/>
  <c r="Q133" i="7"/>
  <c r="P133" i="7"/>
  <c r="O133" i="7"/>
  <c r="N133" i="7"/>
  <c r="M133" i="7"/>
  <c r="R132" i="7"/>
  <c r="Q132" i="7"/>
  <c r="P132" i="7"/>
  <c r="O132" i="7"/>
  <c r="N132" i="7"/>
  <c r="M132" i="7"/>
  <c r="R131" i="7"/>
  <c r="Q131" i="7"/>
  <c r="P131" i="7"/>
  <c r="O131" i="7"/>
  <c r="N131" i="7"/>
  <c r="M131" i="7"/>
  <c r="R130" i="7"/>
  <c r="Q130" i="7"/>
  <c r="P130" i="7"/>
  <c r="O130" i="7"/>
  <c r="N130" i="7"/>
  <c r="M130" i="7"/>
  <c r="R129" i="7"/>
  <c r="Q129" i="7"/>
  <c r="P129" i="7"/>
  <c r="O129" i="7"/>
  <c r="N129" i="7"/>
  <c r="M129" i="7"/>
  <c r="R128" i="7"/>
  <c r="Q128" i="7"/>
  <c r="P128" i="7"/>
  <c r="O128" i="7"/>
  <c r="N128" i="7"/>
  <c r="M128" i="7"/>
  <c r="R127" i="7"/>
  <c r="Q127" i="7"/>
  <c r="P127" i="7"/>
  <c r="O127" i="7"/>
  <c r="N127" i="7"/>
  <c r="M127" i="7"/>
  <c r="R126" i="7"/>
  <c r="Q126" i="7"/>
  <c r="P126" i="7"/>
  <c r="O126" i="7"/>
  <c r="N126" i="7"/>
  <c r="M126" i="7"/>
  <c r="R125" i="7"/>
  <c r="Q125" i="7"/>
  <c r="P125" i="7"/>
  <c r="O125" i="7"/>
  <c r="N125" i="7"/>
  <c r="M125" i="7"/>
  <c r="R124" i="7"/>
  <c r="Q124" i="7"/>
  <c r="P124" i="7"/>
  <c r="O124" i="7"/>
  <c r="N124" i="7"/>
  <c r="M124" i="7"/>
  <c r="R123" i="7"/>
  <c r="Q123" i="7"/>
  <c r="P123" i="7"/>
  <c r="O123" i="7"/>
  <c r="N123" i="7"/>
  <c r="M123" i="7"/>
  <c r="R122" i="7"/>
  <c r="Q122" i="7"/>
  <c r="P122" i="7"/>
  <c r="O122" i="7"/>
  <c r="N122" i="7"/>
  <c r="M122" i="7"/>
  <c r="R121" i="7"/>
  <c r="Q121" i="7"/>
  <c r="P121" i="7"/>
  <c r="O121" i="7"/>
  <c r="N121" i="7"/>
  <c r="M121" i="7"/>
  <c r="R120" i="7"/>
  <c r="Q120" i="7"/>
  <c r="P120" i="7"/>
  <c r="O120" i="7"/>
  <c r="N120" i="7"/>
  <c r="M120" i="7"/>
  <c r="R119" i="7"/>
  <c r="Q119" i="7"/>
  <c r="P119" i="7"/>
  <c r="O119" i="7"/>
  <c r="N119" i="7"/>
  <c r="M119" i="7"/>
  <c r="R118" i="7"/>
  <c r="Q118" i="7"/>
  <c r="P118" i="7"/>
  <c r="O118" i="7"/>
  <c r="N118" i="7"/>
  <c r="M118" i="7"/>
  <c r="R117" i="7"/>
  <c r="Q117" i="7"/>
  <c r="P117" i="7"/>
  <c r="O117" i="7"/>
  <c r="N117" i="7"/>
  <c r="M117" i="7"/>
  <c r="R116" i="7"/>
  <c r="Q116" i="7"/>
  <c r="P116" i="7"/>
  <c r="O116" i="7"/>
  <c r="N116" i="7"/>
  <c r="M116" i="7"/>
  <c r="R115" i="7"/>
  <c r="Q115" i="7"/>
  <c r="P115" i="7"/>
  <c r="O115" i="7"/>
  <c r="N115" i="7"/>
  <c r="M115" i="7"/>
  <c r="R114" i="7"/>
  <c r="Q114" i="7"/>
  <c r="P114" i="7"/>
  <c r="O114" i="7"/>
  <c r="N114" i="7"/>
  <c r="M114" i="7"/>
  <c r="R113" i="7"/>
  <c r="Q113" i="7"/>
  <c r="P113" i="7"/>
  <c r="O113" i="7"/>
  <c r="N113" i="7"/>
  <c r="M113" i="7"/>
  <c r="R112" i="7"/>
  <c r="Q112" i="7"/>
  <c r="P112" i="7"/>
  <c r="O112" i="7"/>
  <c r="N112" i="7"/>
  <c r="M112" i="7"/>
  <c r="R111" i="7"/>
  <c r="Q111" i="7"/>
  <c r="P111" i="7"/>
  <c r="O111" i="7"/>
  <c r="N111" i="7"/>
  <c r="M111" i="7"/>
  <c r="R110" i="7"/>
  <c r="Q110" i="7"/>
  <c r="P110" i="7"/>
  <c r="O110" i="7"/>
  <c r="N110" i="7"/>
  <c r="M110" i="7"/>
  <c r="R109" i="7"/>
  <c r="Q109" i="7"/>
  <c r="P109" i="7"/>
  <c r="O109" i="7"/>
  <c r="N109" i="7"/>
  <c r="M109" i="7"/>
  <c r="R108" i="7"/>
  <c r="Q108" i="7"/>
  <c r="P108" i="7"/>
  <c r="O108" i="7"/>
  <c r="N108" i="7"/>
  <c r="M108" i="7"/>
  <c r="R107" i="7"/>
  <c r="Q107" i="7"/>
  <c r="P107" i="7"/>
  <c r="O107" i="7"/>
  <c r="N107" i="7"/>
  <c r="M107" i="7"/>
  <c r="R106" i="7"/>
  <c r="Q106" i="7"/>
  <c r="P106" i="7"/>
  <c r="O106" i="7"/>
  <c r="N106" i="7"/>
  <c r="M106" i="7"/>
  <c r="R105" i="7"/>
  <c r="Q105" i="7"/>
  <c r="P105" i="7"/>
  <c r="O105" i="7"/>
  <c r="N105" i="7"/>
  <c r="M105" i="7"/>
  <c r="R104" i="7"/>
  <c r="Q104" i="7"/>
  <c r="P104" i="7"/>
  <c r="O104" i="7"/>
  <c r="N104" i="7"/>
  <c r="M104" i="7"/>
  <c r="R103" i="7"/>
  <c r="Q103" i="7"/>
  <c r="P103" i="7"/>
  <c r="O103" i="7"/>
  <c r="N103" i="7"/>
  <c r="M103" i="7"/>
  <c r="R102" i="7"/>
  <c r="Q102" i="7"/>
  <c r="P102" i="7"/>
  <c r="O102" i="7"/>
  <c r="N102" i="7"/>
  <c r="M102" i="7"/>
  <c r="R101" i="7"/>
  <c r="Q101" i="7"/>
  <c r="P101" i="7"/>
  <c r="O101" i="7"/>
  <c r="N101" i="7"/>
  <c r="M101" i="7"/>
  <c r="R100" i="7"/>
  <c r="Q100" i="7"/>
  <c r="P100" i="7"/>
  <c r="O100" i="7"/>
  <c r="N100" i="7"/>
  <c r="M100" i="7"/>
  <c r="R99" i="7"/>
  <c r="Q99" i="7"/>
  <c r="P99" i="7"/>
  <c r="O99" i="7"/>
  <c r="N99" i="7"/>
  <c r="M99" i="7"/>
  <c r="R98" i="7"/>
  <c r="Q98" i="7"/>
  <c r="P98" i="7"/>
  <c r="O98" i="7"/>
  <c r="N98" i="7"/>
  <c r="M98" i="7"/>
  <c r="R97" i="7"/>
  <c r="Q97" i="7"/>
  <c r="P97" i="7"/>
  <c r="O97" i="7"/>
  <c r="N97" i="7"/>
  <c r="M97" i="7"/>
  <c r="R96" i="7"/>
  <c r="Q96" i="7"/>
  <c r="P96" i="7"/>
  <c r="O96" i="7"/>
  <c r="N96" i="7"/>
  <c r="M96" i="7"/>
  <c r="R95" i="7"/>
  <c r="Q95" i="7"/>
  <c r="P95" i="7"/>
  <c r="O95" i="7"/>
  <c r="N95" i="7"/>
  <c r="M95" i="7"/>
  <c r="R94" i="7"/>
  <c r="Q94" i="7"/>
  <c r="P94" i="7"/>
  <c r="O94" i="7"/>
  <c r="N94" i="7"/>
  <c r="M94" i="7"/>
  <c r="R93" i="7"/>
  <c r="Q93" i="7"/>
  <c r="P93" i="7"/>
  <c r="O93" i="7"/>
  <c r="N93" i="7"/>
  <c r="M93" i="7"/>
  <c r="R92" i="7"/>
  <c r="Q92" i="7"/>
  <c r="P92" i="7"/>
  <c r="O92" i="7"/>
  <c r="N92" i="7"/>
  <c r="M92" i="7"/>
  <c r="R91" i="7"/>
  <c r="Q91" i="7"/>
  <c r="P91" i="7"/>
  <c r="O91" i="7"/>
  <c r="N91" i="7"/>
  <c r="M91" i="7"/>
  <c r="R90" i="7"/>
  <c r="Q90" i="7"/>
  <c r="P90" i="7"/>
  <c r="O90" i="7"/>
  <c r="N90" i="7"/>
  <c r="M90" i="7"/>
  <c r="R89" i="7"/>
  <c r="Q89" i="7"/>
  <c r="P89" i="7"/>
  <c r="O89" i="7"/>
  <c r="N89" i="7"/>
  <c r="M89" i="7"/>
  <c r="R88" i="7"/>
  <c r="Q88" i="7"/>
  <c r="P88" i="7"/>
  <c r="O88" i="7"/>
  <c r="N88" i="7"/>
  <c r="M88" i="7"/>
  <c r="R87" i="7"/>
  <c r="Q87" i="7"/>
  <c r="P87" i="7"/>
  <c r="O87" i="7"/>
  <c r="N87" i="7"/>
  <c r="M87" i="7"/>
  <c r="R86" i="7"/>
  <c r="Q86" i="7"/>
  <c r="P86" i="7"/>
  <c r="O86" i="7"/>
  <c r="N86" i="7"/>
  <c r="M86" i="7"/>
  <c r="R85" i="7"/>
  <c r="Q85" i="7"/>
  <c r="P85" i="7"/>
  <c r="O85" i="7"/>
  <c r="N85" i="7"/>
  <c r="M85" i="7"/>
  <c r="R84" i="7"/>
  <c r="Q84" i="7"/>
  <c r="P84" i="7"/>
  <c r="O84" i="7"/>
  <c r="N84" i="7"/>
  <c r="M84" i="7"/>
  <c r="R83" i="7"/>
  <c r="Q83" i="7"/>
  <c r="P83" i="7"/>
  <c r="O83" i="7"/>
  <c r="N83" i="7"/>
  <c r="M83" i="7"/>
  <c r="R82" i="7"/>
  <c r="Q82" i="7"/>
  <c r="P82" i="7"/>
  <c r="O82" i="7"/>
  <c r="N82" i="7"/>
  <c r="M82" i="7"/>
  <c r="R81" i="7"/>
  <c r="Q81" i="7"/>
  <c r="P81" i="7"/>
  <c r="O81" i="7"/>
  <c r="N81" i="7"/>
  <c r="M81" i="7"/>
  <c r="R80" i="7"/>
  <c r="Q80" i="7"/>
  <c r="P80" i="7"/>
  <c r="O80" i="7"/>
  <c r="N80" i="7"/>
  <c r="M80" i="7"/>
  <c r="R79" i="7"/>
  <c r="Q79" i="7"/>
  <c r="P79" i="7"/>
  <c r="O79" i="7"/>
  <c r="N79" i="7"/>
  <c r="M79" i="7"/>
  <c r="R78" i="7"/>
  <c r="Q78" i="7"/>
  <c r="P78" i="7"/>
  <c r="O78" i="7"/>
  <c r="N78" i="7"/>
  <c r="M78" i="7"/>
  <c r="R77" i="7"/>
  <c r="Q77" i="7"/>
  <c r="P77" i="7"/>
  <c r="O77" i="7"/>
  <c r="N77" i="7"/>
  <c r="M77" i="7"/>
  <c r="R76" i="7"/>
  <c r="Q76" i="7"/>
  <c r="P76" i="7"/>
  <c r="O76" i="7"/>
  <c r="N76" i="7"/>
  <c r="M76" i="7"/>
  <c r="R75" i="7"/>
  <c r="Q75" i="7"/>
  <c r="P75" i="7"/>
  <c r="O75" i="7"/>
  <c r="N75" i="7"/>
  <c r="M75" i="7"/>
  <c r="R74" i="7"/>
  <c r="Q74" i="7"/>
  <c r="P74" i="7"/>
  <c r="O74" i="7"/>
  <c r="N74" i="7"/>
  <c r="M74" i="7"/>
  <c r="R73" i="7"/>
  <c r="Q73" i="7"/>
  <c r="P73" i="7"/>
  <c r="O73" i="7"/>
  <c r="N73" i="7"/>
  <c r="M73" i="7"/>
  <c r="R72" i="7"/>
  <c r="Q72" i="7"/>
  <c r="P72" i="7"/>
  <c r="O72" i="7"/>
  <c r="N72" i="7"/>
  <c r="M72" i="7"/>
  <c r="R71" i="7"/>
  <c r="Q71" i="7"/>
  <c r="P71" i="7"/>
  <c r="O71" i="7"/>
  <c r="N71" i="7"/>
  <c r="M71" i="7"/>
  <c r="R70" i="7"/>
  <c r="Q70" i="7"/>
  <c r="P70" i="7"/>
  <c r="O70" i="7"/>
  <c r="N70" i="7"/>
  <c r="M70" i="7"/>
  <c r="R69" i="7"/>
  <c r="Q69" i="7"/>
  <c r="P69" i="7"/>
  <c r="O69" i="7"/>
  <c r="N69" i="7"/>
  <c r="M69" i="7"/>
  <c r="R68" i="7"/>
  <c r="Q68" i="7"/>
  <c r="P68" i="7"/>
  <c r="O68" i="7"/>
  <c r="N68" i="7"/>
  <c r="M68" i="7"/>
  <c r="R67" i="7"/>
  <c r="Q67" i="7"/>
  <c r="P67" i="7"/>
  <c r="O67" i="7"/>
  <c r="N67" i="7"/>
  <c r="M67" i="7"/>
  <c r="R66" i="7"/>
  <c r="Q66" i="7"/>
  <c r="P66" i="7"/>
  <c r="O66" i="7"/>
  <c r="N66" i="7"/>
  <c r="M66" i="7"/>
  <c r="R65" i="7"/>
  <c r="Q65" i="7"/>
  <c r="P65" i="7"/>
  <c r="O65" i="7"/>
  <c r="N65" i="7"/>
  <c r="M65" i="7"/>
  <c r="R64" i="7"/>
  <c r="Q64" i="7"/>
  <c r="P64" i="7"/>
  <c r="O64" i="7"/>
  <c r="N64" i="7"/>
  <c r="M64" i="7"/>
  <c r="R63" i="7"/>
  <c r="Q63" i="7"/>
  <c r="P63" i="7"/>
  <c r="O63" i="7"/>
  <c r="N63" i="7"/>
  <c r="M63" i="7"/>
  <c r="R62" i="7"/>
  <c r="Q62" i="7"/>
  <c r="P62" i="7"/>
  <c r="O62" i="7"/>
  <c r="N62" i="7"/>
  <c r="M62" i="7"/>
  <c r="R61" i="7"/>
  <c r="Q61" i="7"/>
  <c r="P61" i="7"/>
  <c r="O61" i="7"/>
  <c r="N61" i="7"/>
  <c r="M61" i="7"/>
  <c r="R60" i="7"/>
  <c r="Q60" i="7"/>
  <c r="P60" i="7"/>
  <c r="O60" i="7"/>
  <c r="N60" i="7"/>
  <c r="M60" i="7"/>
  <c r="R59" i="7"/>
  <c r="Q59" i="7"/>
  <c r="P59" i="7"/>
  <c r="O59" i="7"/>
  <c r="N59" i="7"/>
  <c r="M59" i="7"/>
  <c r="R58" i="7"/>
  <c r="Q58" i="7"/>
  <c r="P58" i="7"/>
  <c r="O58" i="7"/>
  <c r="N58" i="7"/>
  <c r="M58" i="7"/>
  <c r="R57" i="7"/>
  <c r="Q57" i="7"/>
  <c r="P57" i="7"/>
  <c r="O57" i="7"/>
  <c r="N57" i="7"/>
  <c r="M57" i="7"/>
  <c r="R56" i="7"/>
  <c r="Q56" i="7"/>
  <c r="P56" i="7"/>
  <c r="O56" i="7"/>
  <c r="N56" i="7"/>
  <c r="M56" i="7"/>
  <c r="R55" i="7"/>
  <c r="Q55" i="7"/>
  <c r="P55" i="7"/>
  <c r="O55" i="7"/>
  <c r="N55" i="7"/>
  <c r="M55" i="7"/>
  <c r="R54" i="7"/>
  <c r="Q54" i="7"/>
  <c r="P54" i="7"/>
  <c r="O54" i="7"/>
  <c r="N54" i="7"/>
  <c r="M54" i="7"/>
  <c r="R53" i="7"/>
  <c r="Q53" i="7"/>
  <c r="P53" i="7"/>
  <c r="O53" i="7"/>
  <c r="N53" i="7"/>
  <c r="M53" i="7"/>
  <c r="R52" i="7"/>
  <c r="Q52" i="7"/>
  <c r="P52" i="7"/>
  <c r="O52" i="7"/>
  <c r="N52" i="7"/>
  <c r="M52" i="7"/>
  <c r="R51" i="7"/>
  <c r="Q51" i="7"/>
  <c r="P51" i="7"/>
  <c r="O51" i="7"/>
  <c r="N51" i="7"/>
  <c r="M51" i="7"/>
  <c r="R50" i="7"/>
  <c r="Q50" i="7"/>
  <c r="P50" i="7"/>
  <c r="O50" i="7"/>
  <c r="N50" i="7"/>
  <c r="M50" i="7"/>
  <c r="R49" i="7"/>
  <c r="Q49" i="7"/>
  <c r="P49" i="7"/>
  <c r="O49" i="7"/>
  <c r="N49" i="7"/>
  <c r="M49" i="7"/>
  <c r="R48" i="7"/>
  <c r="Q48" i="7"/>
  <c r="P48" i="7"/>
  <c r="O48" i="7"/>
  <c r="N48" i="7"/>
  <c r="M48" i="7"/>
  <c r="R47" i="7"/>
  <c r="Q47" i="7"/>
  <c r="P47" i="7"/>
  <c r="O47" i="7"/>
  <c r="N47" i="7"/>
  <c r="M47" i="7"/>
  <c r="R46" i="7"/>
  <c r="Q46" i="7"/>
  <c r="P46" i="7"/>
  <c r="O46" i="7"/>
  <c r="N46" i="7"/>
  <c r="M46" i="7"/>
  <c r="R45" i="7"/>
  <c r="Q45" i="7"/>
  <c r="P45" i="7"/>
  <c r="O45" i="7"/>
  <c r="N45" i="7"/>
  <c r="M45" i="7"/>
  <c r="R44" i="7"/>
  <c r="Q44" i="7"/>
  <c r="P44" i="7"/>
  <c r="O44" i="7"/>
  <c r="N44" i="7"/>
  <c r="M44" i="7"/>
  <c r="R43" i="7"/>
  <c r="Q43" i="7"/>
  <c r="P43" i="7"/>
  <c r="O43" i="7"/>
  <c r="N43" i="7"/>
  <c r="M43" i="7"/>
  <c r="R42" i="7"/>
  <c r="Q42" i="7"/>
  <c r="P42" i="7"/>
  <c r="O42" i="7"/>
  <c r="N42" i="7"/>
  <c r="M42" i="7"/>
  <c r="R41" i="7"/>
  <c r="Q41" i="7"/>
  <c r="P41" i="7"/>
  <c r="O41" i="7"/>
  <c r="N41" i="7"/>
  <c r="M41" i="7"/>
  <c r="R40" i="7"/>
  <c r="Q40" i="7"/>
  <c r="P40" i="7"/>
  <c r="O40" i="7"/>
  <c r="N40" i="7"/>
  <c r="M40" i="7"/>
  <c r="R39" i="7"/>
  <c r="Q39" i="7"/>
  <c r="P39" i="7"/>
  <c r="O39" i="7"/>
  <c r="N39" i="7"/>
  <c r="M39" i="7"/>
  <c r="R38" i="7"/>
  <c r="Q38" i="7"/>
  <c r="P38" i="7"/>
  <c r="O38" i="7"/>
  <c r="N38" i="7"/>
  <c r="M38" i="7"/>
  <c r="R37" i="7"/>
  <c r="Q37" i="7"/>
  <c r="P37" i="7"/>
  <c r="O37" i="7"/>
  <c r="N37" i="7"/>
  <c r="M37" i="7"/>
  <c r="R36" i="7"/>
  <c r="Q36" i="7"/>
  <c r="P36" i="7"/>
  <c r="O36" i="7"/>
  <c r="N36" i="7"/>
  <c r="M36" i="7"/>
  <c r="R35" i="7"/>
  <c r="Q35" i="7"/>
  <c r="P35" i="7"/>
  <c r="O35" i="7"/>
  <c r="N35" i="7"/>
  <c r="M35" i="7"/>
  <c r="R34" i="7"/>
  <c r="Q34" i="7"/>
  <c r="P34" i="7"/>
  <c r="O34" i="7"/>
  <c r="N34" i="7"/>
  <c r="M34" i="7"/>
  <c r="R33" i="7"/>
  <c r="Q33" i="7"/>
  <c r="P33" i="7"/>
  <c r="O33" i="7"/>
  <c r="N33" i="7"/>
  <c r="M33" i="7"/>
  <c r="R32" i="7"/>
  <c r="Q32" i="7"/>
  <c r="P32" i="7"/>
  <c r="O32" i="7"/>
  <c r="N32" i="7"/>
  <c r="M32" i="7"/>
  <c r="R31" i="7"/>
  <c r="Q31" i="7"/>
  <c r="P31" i="7"/>
  <c r="O31" i="7"/>
  <c r="N31" i="7"/>
  <c r="M31" i="7"/>
  <c r="R30" i="7"/>
  <c r="Q30" i="7"/>
  <c r="P30" i="7"/>
  <c r="O30" i="7"/>
  <c r="N30" i="7"/>
  <c r="M30" i="7"/>
  <c r="R29" i="7"/>
  <c r="Q29" i="7"/>
  <c r="P29" i="7"/>
  <c r="O29" i="7"/>
  <c r="N29" i="7"/>
  <c r="M29" i="7"/>
  <c r="R28" i="7"/>
  <c r="Q28" i="7"/>
  <c r="P28" i="7"/>
  <c r="O28" i="7"/>
  <c r="N28" i="7"/>
  <c r="M28" i="7"/>
  <c r="R27" i="7"/>
  <c r="Q27" i="7"/>
  <c r="P27" i="7"/>
  <c r="O27" i="7"/>
  <c r="N27" i="7"/>
  <c r="M27" i="7"/>
  <c r="R26" i="7"/>
  <c r="Q26" i="7"/>
  <c r="P26" i="7"/>
  <c r="O26" i="7"/>
  <c r="N26" i="7"/>
  <c r="M26" i="7"/>
  <c r="R25" i="7"/>
  <c r="Q25" i="7"/>
  <c r="P25" i="7"/>
  <c r="O25" i="7"/>
  <c r="N25" i="7"/>
  <c r="M25" i="7"/>
  <c r="R24" i="7"/>
  <c r="Q24" i="7"/>
  <c r="P24" i="7"/>
  <c r="O24" i="7"/>
  <c r="N24" i="7"/>
  <c r="M24" i="7"/>
  <c r="R23" i="7"/>
  <c r="Q23" i="7"/>
  <c r="P23" i="7"/>
  <c r="O23" i="7"/>
  <c r="N23" i="7"/>
  <c r="M23" i="7"/>
  <c r="R22" i="7"/>
  <c r="Q22" i="7"/>
  <c r="P22" i="7"/>
  <c r="O22" i="7"/>
  <c r="N22" i="7"/>
  <c r="M22" i="7"/>
  <c r="R21" i="7"/>
  <c r="Q21" i="7"/>
  <c r="P21" i="7"/>
  <c r="O21" i="7"/>
  <c r="N21" i="7"/>
  <c r="M21" i="7"/>
  <c r="R20" i="7"/>
  <c r="Q20" i="7"/>
  <c r="P20" i="7"/>
  <c r="O20" i="7"/>
  <c r="N20" i="7"/>
  <c r="M20" i="7"/>
  <c r="R19" i="7"/>
  <c r="Q19" i="7"/>
  <c r="P19" i="7"/>
  <c r="O19" i="7"/>
  <c r="N19" i="7"/>
  <c r="M19" i="7"/>
  <c r="R18" i="7"/>
  <c r="Q18" i="7"/>
  <c r="P18" i="7"/>
  <c r="O18" i="7"/>
  <c r="N18" i="7"/>
  <c r="M18" i="7"/>
  <c r="R17" i="7"/>
  <c r="Q17" i="7"/>
  <c r="P17" i="7"/>
  <c r="O17" i="7"/>
  <c r="N17" i="7"/>
  <c r="M17" i="7"/>
  <c r="R16" i="7"/>
  <c r="Q16" i="7"/>
  <c r="P16" i="7"/>
  <c r="O16" i="7"/>
  <c r="N16" i="7"/>
  <c r="M16" i="7"/>
  <c r="R15" i="7"/>
  <c r="Q15" i="7"/>
  <c r="P15" i="7"/>
  <c r="O15" i="7"/>
  <c r="N15" i="7"/>
  <c r="M15" i="7"/>
  <c r="R14" i="7"/>
  <c r="Q14" i="7"/>
  <c r="P14" i="7"/>
  <c r="O14" i="7"/>
  <c r="N14" i="7"/>
  <c r="M14" i="7"/>
  <c r="R13" i="7"/>
  <c r="Q13" i="7"/>
  <c r="P13" i="7"/>
  <c r="O13" i="7"/>
  <c r="N13" i="7"/>
  <c r="M13" i="7"/>
  <c r="R12" i="7"/>
  <c r="Q12" i="7"/>
  <c r="P12" i="7"/>
  <c r="O12" i="7"/>
  <c r="N12" i="7"/>
  <c r="M12" i="7"/>
  <c r="R11" i="7"/>
  <c r="Q11" i="7"/>
  <c r="P11" i="7"/>
  <c r="O11" i="7"/>
  <c r="N11" i="7"/>
  <c r="M11" i="7"/>
  <c r="R10" i="7"/>
  <c r="Q10" i="7"/>
  <c r="P10" i="7"/>
  <c r="O10" i="7"/>
  <c r="N10" i="7"/>
  <c r="M10" i="7"/>
  <c r="R9" i="7"/>
  <c r="Q9" i="7"/>
  <c r="P9" i="7"/>
  <c r="O9" i="7"/>
  <c r="N9" i="7"/>
  <c r="M9" i="7"/>
  <c r="R8" i="7"/>
  <c r="Q8" i="7"/>
  <c r="P8" i="7"/>
  <c r="O8" i="7"/>
  <c r="N8" i="7"/>
  <c r="M8" i="7"/>
  <c r="R7" i="7"/>
  <c r="Q7" i="7"/>
  <c r="P7" i="7"/>
  <c r="O7" i="7"/>
  <c r="N7" i="7"/>
  <c r="M7" i="7"/>
  <c r="R6" i="7"/>
  <c r="Q6" i="7"/>
  <c r="P6" i="7"/>
  <c r="O6" i="7"/>
  <c r="N6" i="7"/>
  <c r="M6" i="7"/>
  <c r="R5" i="7"/>
  <c r="Q5" i="7"/>
  <c r="P5" i="7"/>
  <c r="O5" i="7"/>
  <c r="N5" i="7"/>
  <c r="M5" i="7"/>
  <c r="R4" i="7"/>
  <c r="Q4" i="7"/>
  <c r="P4" i="7"/>
  <c r="O4" i="7"/>
  <c r="N4" i="7"/>
  <c r="M4" i="7"/>
  <c r="R3" i="7"/>
  <c r="Q3" i="7"/>
  <c r="P3" i="7"/>
  <c r="O3" i="7"/>
  <c r="N3" i="7"/>
  <c r="M3" i="7"/>
  <c r="R2" i="7"/>
  <c r="Q2" i="7"/>
  <c r="P2" i="7"/>
  <c r="O2" i="7"/>
  <c r="N2" i="7"/>
  <c r="M2" i="7"/>
  <c r="C23" i="1"/>
  <c r="E51" i="11"/>
  <c r="C51" i="11"/>
  <c r="B51" i="11"/>
  <c r="A51" i="11"/>
  <c r="E50" i="11"/>
  <c r="C50" i="11"/>
  <c r="B50" i="11"/>
  <c r="A50" i="11"/>
  <c r="E49" i="11"/>
  <c r="C49" i="11"/>
  <c r="B49" i="11"/>
  <c r="A49" i="11"/>
  <c r="E48" i="11"/>
  <c r="C48" i="11"/>
  <c r="B48" i="11"/>
  <c r="A48" i="11"/>
  <c r="E47" i="11"/>
  <c r="C47" i="11"/>
  <c r="B47" i="11"/>
  <c r="A47" i="11"/>
  <c r="E46" i="11"/>
  <c r="C46" i="11"/>
  <c r="B46" i="11"/>
  <c r="A46" i="11"/>
  <c r="E45" i="11"/>
  <c r="C45" i="11"/>
  <c r="B45" i="11"/>
  <c r="A45" i="11"/>
  <c r="E44" i="11"/>
  <c r="C44" i="11"/>
  <c r="B44" i="11"/>
  <c r="A44" i="11"/>
  <c r="E43" i="11"/>
  <c r="C43" i="11"/>
  <c r="B43" i="11"/>
  <c r="A43" i="11"/>
  <c r="E42" i="11"/>
  <c r="C42" i="11"/>
  <c r="B42" i="11"/>
  <c r="A42" i="11"/>
  <c r="E41" i="11"/>
  <c r="C41" i="11"/>
  <c r="B41" i="11"/>
  <c r="A41" i="11"/>
  <c r="E40" i="11"/>
  <c r="C40" i="11"/>
  <c r="B40" i="11"/>
  <c r="A40" i="11"/>
  <c r="E39" i="11"/>
  <c r="C39" i="11"/>
  <c r="B39" i="11"/>
  <c r="A39" i="11"/>
  <c r="E38" i="11"/>
  <c r="C38" i="11"/>
  <c r="B38" i="11"/>
  <c r="A38" i="11"/>
  <c r="E37" i="11"/>
  <c r="C37" i="11"/>
  <c r="B37" i="11"/>
  <c r="A37" i="11"/>
  <c r="E36" i="11"/>
  <c r="C36" i="11"/>
  <c r="B36" i="11"/>
  <c r="A36" i="11"/>
  <c r="E35" i="11"/>
  <c r="C35" i="11"/>
  <c r="B35" i="11"/>
  <c r="A35" i="11"/>
  <c r="E34" i="11"/>
  <c r="C34" i="11"/>
  <c r="B34" i="11"/>
  <c r="A34" i="11"/>
  <c r="E33" i="11"/>
  <c r="C33" i="11"/>
  <c r="B33" i="11"/>
  <c r="A33" i="11"/>
  <c r="E32" i="11"/>
  <c r="C32" i="11"/>
  <c r="B32" i="11"/>
  <c r="A32" i="11"/>
  <c r="E31" i="11"/>
  <c r="C31" i="11"/>
  <c r="B31" i="11"/>
  <c r="A31" i="11"/>
  <c r="E30" i="11"/>
  <c r="C30" i="11"/>
  <c r="B30" i="11"/>
  <c r="A30" i="11"/>
  <c r="E29" i="11"/>
  <c r="C29" i="11"/>
  <c r="B29" i="11"/>
  <c r="A29" i="11"/>
  <c r="E28" i="11"/>
  <c r="C28" i="11"/>
  <c r="B28" i="11"/>
  <c r="A28" i="11"/>
  <c r="E27" i="11"/>
  <c r="C27" i="11"/>
  <c r="B27" i="11"/>
  <c r="A27" i="11"/>
  <c r="E26" i="11"/>
  <c r="C26" i="11"/>
  <c r="B26" i="11"/>
  <c r="A26" i="11"/>
  <c r="E25" i="11"/>
  <c r="C25" i="11"/>
  <c r="B25" i="11"/>
  <c r="A25" i="11"/>
  <c r="E24" i="11"/>
  <c r="C24" i="11"/>
  <c r="B24" i="11"/>
  <c r="A24" i="11"/>
  <c r="E23" i="11"/>
  <c r="C23" i="11"/>
  <c r="B23" i="11"/>
  <c r="A23" i="11"/>
  <c r="E22" i="11"/>
  <c r="C22" i="11"/>
  <c r="B22" i="11"/>
  <c r="A22" i="11"/>
  <c r="E21" i="11"/>
  <c r="C21" i="11"/>
  <c r="B21" i="11"/>
  <c r="A21" i="11"/>
  <c r="E20" i="11"/>
  <c r="C20" i="11"/>
  <c r="B20" i="11"/>
  <c r="A20" i="11"/>
  <c r="E19" i="11"/>
  <c r="C19" i="11"/>
  <c r="B19" i="11"/>
  <c r="A19" i="11"/>
  <c r="E18" i="11"/>
  <c r="C18" i="11"/>
  <c r="B18" i="11"/>
  <c r="A18" i="11"/>
  <c r="E17" i="11"/>
  <c r="C17" i="11"/>
  <c r="B17" i="11"/>
  <c r="A17" i="11"/>
  <c r="E16" i="11"/>
  <c r="C16" i="11"/>
  <c r="B16" i="11"/>
  <c r="A16" i="11"/>
  <c r="E15" i="11"/>
  <c r="C15" i="11"/>
  <c r="B15" i="11"/>
  <c r="A15" i="11"/>
  <c r="E14" i="11"/>
  <c r="C14" i="11"/>
  <c r="B14" i="11"/>
  <c r="A14" i="11"/>
  <c r="E13" i="11"/>
  <c r="C13" i="11"/>
  <c r="B13" i="11"/>
  <c r="A13" i="11"/>
  <c r="E12" i="11"/>
  <c r="C12" i="11"/>
  <c r="B12" i="11"/>
  <c r="A12" i="11"/>
  <c r="E11" i="11"/>
  <c r="C11" i="11"/>
  <c r="B11" i="11"/>
  <c r="A11" i="11"/>
  <c r="E10" i="11"/>
  <c r="C10" i="11"/>
  <c r="B10" i="11"/>
  <c r="A10" i="11"/>
  <c r="E9" i="11"/>
  <c r="C9" i="11"/>
  <c r="B9" i="11"/>
  <c r="A9" i="11"/>
  <c r="E8" i="11"/>
  <c r="C8" i="11"/>
  <c r="B8" i="11"/>
  <c r="A8" i="11"/>
  <c r="E7" i="11"/>
  <c r="C7" i="11"/>
  <c r="B7" i="11"/>
  <c r="A7" i="11"/>
  <c r="E6" i="11"/>
  <c r="C6" i="11"/>
  <c r="B6" i="11"/>
  <c r="A6" i="11"/>
  <c r="E5" i="11"/>
  <c r="C5" i="11"/>
  <c r="B5" i="11"/>
  <c r="A5" i="11"/>
  <c r="E4" i="11"/>
  <c r="C4" i="11"/>
  <c r="B4" i="11"/>
  <c r="A4" i="11"/>
  <c r="E3" i="11"/>
  <c r="C3" i="11"/>
  <c r="B3" i="11"/>
  <c r="A3" i="11"/>
  <c r="J2" i="11"/>
  <c r="E2" i="11"/>
  <c r="C2" i="11"/>
  <c r="B2" i="11"/>
  <c r="A2" i="11"/>
  <c r="G8" i="11" l="1"/>
  <c r="G15" i="11"/>
  <c r="G22" i="11"/>
  <c r="G43" i="11"/>
  <c r="G50" i="11"/>
  <c r="G17" i="11"/>
  <c r="H13" i="8"/>
  <c r="D4" i="8"/>
  <c r="D6" i="8"/>
  <c r="G4" i="11"/>
  <c r="G46" i="11"/>
  <c r="G33" i="11"/>
  <c r="G47" i="11"/>
  <c r="G2" i="11"/>
  <c r="G28" i="11"/>
  <c r="G23" i="11"/>
  <c r="G37" i="11"/>
  <c r="G7" i="11"/>
  <c r="G21" i="11"/>
  <c r="G18" i="11"/>
  <c r="G25" i="11"/>
  <c r="G32" i="11"/>
  <c r="G39" i="11"/>
  <c r="D3" i="8"/>
  <c r="G26" i="11"/>
  <c r="G44" i="11"/>
  <c r="G6" i="11"/>
  <c r="G13" i="11"/>
  <c r="G20" i="11"/>
  <c r="G27" i="11"/>
  <c r="G3" i="11"/>
  <c r="G10" i="11"/>
  <c r="C19" i="8"/>
  <c r="G14" i="11"/>
  <c r="G42" i="11"/>
  <c r="H2" i="10"/>
  <c r="G45" i="11"/>
  <c r="G11" i="11"/>
  <c r="G31" i="11"/>
  <c r="G38" i="11"/>
  <c r="G48" i="11"/>
  <c r="H14" i="8"/>
  <c r="H17" i="8"/>
  <c r="G35" i="11"/>
  <c r="G7" i="10"/>
  <c r="G5" i="11"/>
  <c r="G12" i="11"/>
  <c r="G29" i="11"/>
  <c r="G49" i="11"/>
  <c r="H3" i="10"/>
  <c r="B15" i="10"/>
  <c r="D5" i="8"/>
  <c r="G9" i="11"/>
  <c r="G19" i="11"/>
  <c r="G36" i="11"/>
  <c r="C4" i="10"/>
  <c r="B8" i="8"/>
  <c r="H15" i="8"/>
  <c r="G16" i="11"/>
  <c r="G30" i="11"/>
  <c r="C8" i="8"/>
  <c r="D19" i="8"/>
  <c r="H18" i="8"/>
  <c r="D3" i="10"/>
  <c r="H5" i="10"/>
  <c r="F5" i="10"/>
  <c r="E19" i="8"/>
  <c r="H7" i="10"/>
  <c r="G24" i="11"/>
  <c r="G34" i="11"/>
  <c r="G41" i="11"/>
  <c r="G51" i="11"/>
  <c r="F19" i="8"/>
  <c r="H16" i="8"/>
  <c r="G40" i="11"/>
  <c r="G19" i="8"/>
  <c r="B19" i="8"/>
  <c r="D4" i="10"/>
  <c r="F6" i="10"/>
  <c r="C2" i="10"/>
  <c r="E4" i="10"/>
  <c r="G6" i="10"/>
  <c r="D2" i="10"/>
  <c r="F4" i="10"/>
  <c r="H6" i="10"/>
  <c r="E2" i="10"/>
  <c r="G4" i="10"/>
  <c r="C7" i="10"/>
  <c r="F2" i="10"/>
  <c r="H4" i="10"/>
  <c r="D7" i="10"/>
  <c r="G2" i="10"/>
  <c r="C5" i="10"/>
  <c r="E7" i="10"/>
  <c r="D5" i="10"/>
  <c r="F7" i="10"/>
  <c r="C3" i="10"/>
  <c r="E5" i="10"/>
  <c r="B11" i="10"/>
  <c r="D2" i="8"/>
  <c r="E3" i="10"/>
  <c r="G5" i="10"/>
  <c r="D7" i="8"/>
  <c r="F3" i="10"/>
  <c r="B12" i="10"/>
  <c r="G3" i="10"/>
  <c r="C6" i="10"/>
  <c r="B13" i="10"/>
  <c r="B14" i="10"/>
  <c r="D6" i="10"/>
  <c r="E6" i="10"/>
  <c r="J3" i="11" l="1"/>
  <c r="J5" i="11" s="1"/>
  <c r="J4" i="11"/>
  <c r="H19" i="8"/>
  <c r="D8" i="8"/>
</calcChain>
</file>

<file path=xl/sharedStrings.xml><?xml version="1.0" encoding="utf-8"?>
<sst xmlns="http://schemas.openxmlformats.org/spreadsheetml/2006/main" count="4458" uniqueCount="764">
  <si>
    <t>T38  Employee survey theme coder</t>
  </si>
  <si>
    <t>Mini project | 30 marks | Build something with free LLM tools</t>
  </si>
  <si>
    <t>Task ID</t>
  </si>
  <si>
    <t>T38</t>
  </si>
  <si>
    <t>Task</t>
  </si>
  <si>
    <t>Employee survey theme coder</t>
  </si>
  <si>
    <t>Theme</t>
  </si>
  <si>
    <t>AI text analytics</t>
  </si>
  <si>
    <t>Suggested free tools</t>
  </si>
  <si>
    <t>Free tiers of ChatGPT, Gemini, Claude or Microsoft Copilot; Excel / Google Sheets to score results</t>
  </si>
  <si>
    <t>What students do</t>
  </si>
  <si>
    <t>1. Ask an LLM to propose themes, then refine them into a codebook.
2. Code all open comments using the codebook.
3. Check 50 codings by hand against the gold labels.
4. Link themes to low Likert scores and write an HR action plan.</t>
  </si>
  <si>
    <t>Deliverables</t>
  </si>
  <si>
    <t>Codebook; coded responses; accuracy check; action plan; AI-use log</t>
  </si>
  <si>
    <t>Dataset in this file</t>
  </si>
  <si>
    <t>300 engagement survey responses with open comments
- 'Responses' sheet: 300 rows x 10 columns
- 'Gold Labels (evaluation)' sheet: 300 rows x 3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</si>
  <si>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</si>
  <si>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</si>
  <si>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</si>
  <si>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</si>
  <si>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</si>
  <si>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</si>
  <si>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</si>
  <si>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</si>
  <si>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</si>
  <si>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</si>
  <si>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</si>
  <si>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</si>
  <si>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</si>
  <si>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</si>
  <si>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</si>
  <si>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</si>
  <si>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</si>
  <si>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</si>
  <si>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</si>
  <si>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</si>
  <si>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</si>
  <si>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</si>
  <si>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</si>
  <si>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</si>
  <si>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</si>
  <si>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</si>
  <si>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</si>
  <si>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</si>
  <si>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</si>
  <si>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</si>
  <si>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</si>
  <si>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</si>
  <si>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</si>
  <si>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</si>
  <si>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</si>
  <si>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</si>
  <si>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</si>
  <si>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</si>
  <si>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</si>
  <si>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</si>
  <si>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</si>
  <si>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</si>
  <si>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</si>
  <si>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</si>
  <si>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</si>
  <si>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</si>
  <si>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response_id</t>
  </si>
  <si>
    <t>department</t>
  </si>
  <si>
    <t>tenure_band</t>
  </si>
  <si>
    <t>q1_clear_goals_1to5</t>
  </si>
  <si>
    <t>q2_manager_support_1to5</t>
  </si>
  <si>
    <t>q3_fair_pay_1to5</t>
  </si>
  <si>
    <t>q4_growth_1to5</t>
  </si>
  <si>
    <t>q5_worklife_balance_1to5</t>
  </si>
  <si>
    <t>enps_0to10</t>
  </si>
  <si>
    <t>open_comment</t>
  </si>
  <si>
    <t>R0001</t>
  </si>
  <si>
    <t>Technology</t>
  </si>
  <si>
    <t>3-5 yrs</t>
  </si>
  <si>
    <t>My manager gives regular, useful feedback.</t>
  </si>
  <si>
    <t>R0002</t>
  </si>
  <si>
    <t>Customer Support</t>
  </si>
  <si>
    <t>Flexible hours are very helpful.</t>
  </si>
  <si>
    <t>R0003</t>
  </si>
  <si>
    <t>My manager gives regular, useful feedback. Hybrid work helps me balance family.</t>
  </si>
  <si>
    <t>R0004</t>
  </si>
  <si>
    <t>Operations</t>
  </si>
  <si>
    <t>We still use too many manual Excel reports. My manager rarely has time for one-on-ones.</t>
  </si>
  <si>
    <t>R0005</t>
  </si>
  <si>
    <t>&lt;1 yr</t>
  </si>
  <si>
    <t>I was promoted on time and learnt a lot.</t>
  </si>
  <si>
    <t>R0006</t>
  </si>
  <si>
    <t>5+ yrs</t>
  </si>
  <si>
    <t>Staff shortage means we do two people's work.</t>
  </si>
  <si>
    <t>R0007</t>
  </si>
  <si>
    <t>Finance</t>
  </si>
  <si>
    <t>Internal jobs go to outsiders first.</t>
  </si>
  <si>
    <t>R0008</t>
  </si>
  <si>
    <t>1-3 yrs</t>
  </si>
  <si>
    <t>Increments did not match inflation this year. Feedback only comes during appraisal.</t>
  </si>
  <si>
    <t>R0009</t>
  </si>
  <si>
    <t>My manager rarely has time for one-on-ones.</t>
  </si>
  <si>
    <t>R0010</t>
  </si>
  <si>
    <t>No clear promotion criteria.</t>
  </si>
  <si>
    <t>R0011</t>
  </si>
  <si>
    <t>Leave approvals are very slow.</t>
  </si>
  <si>
    <t>R0012</t>
  </si>
  <si>
    <t>R0013</t>
  </si>
  <si>
    <t>Increments did not match inflation this year. Internal jobs go to outsiders first.</t>
  </si>
  <si>
    <t>R0014</t>
  </si>
  <si>
    <t>Health insurance for parents is a big plus. I was promoted on time and learnt a lot.</t>
  </si>
  <si>
    <t>R0015</t>
  </si>
  <si>
    <t>HR</t>
  </si>
  <si>
    <t>Staff shortage means we do two people's work. We still use too many manual Excel reports.</t>
  </si>
  <si>
    <t>R0016</t>
  </si>
  <si>
    <t>Increments did not match inflation this year.</t>
  </si>
  <si>
    <t>R0017</t>
  </si>
  <si>
    <t>R0018</t>
  </si>
  <si>
    <t>Leave approvals are very slow. Staff shortage means we do two people's work.</t>
  </si>
  <si>
    <t>R0019</t>
  </si>
  <si>
    <t>My manager rarely has time for one-on-ones. Increments did not match inflation this year.</t>
  </si>
  <si>
    <t>R0020</t>
  </si>
  <si>
    <t>Sales</t>
  </si>
  <si>
    <t>Systems are slow and crash often.</t>
  </si>
  <si>
    <t>R0021</t>
  </si>
  <si>
    <t>Salary is fair for the market.</t>
  </si>
  <si>
    <t>R0022</t>
  </si>
  <si>
    <t>Workload is manageable and well planned. New CRM has made work easier.</t>
  </si>
  <si>
    <t>R0023</t>
  </si>
  <si>
    <t>Laptops and tools are good.</t>
  </si>
  <si>
    <t>R0024</t>
  </si>
  <si>
    <t>Flexible hours are very helpful. I was promoted on time and learnt a lot.</t>
  </si>
  <si>
    <t>R0025</t>
  </si>
  <si>
    <t>Feedback only comes during appraisal. We still use too many manual Excel reports.</t>
  </si>
  <si>
    <t>R0026</t>
  </si>
  <si>
    <t>I was promoted on time and learnt a lot. My manager gives regular, useful feedback.</t>
  </si>
  <si>
    <t>R0027</t>
  </si>
  <si>
    <t>R0028</t>
  </si>
  <si>
    <t>I feel supported by my reporting manager. Flexible hours are very helpful.</t>
  </si>
  <si>
    <t>R0029</t>
  </si>
  <si>
    <t>Workload is manageable and well planned. Flexible hours are very helpful.</t>
  </si>
  <si>
    <t>R0030</t>
  </si>
  <si>
    <t>Health insurance for parents is a big plus. My manager gives regular, useful feedback.</t>
  </si>
  <si>
    <t>R0031</t>
  </si>
  <si>
    <t>R0032</t>
  </si>
  <si>
    <t>Too many parallel projects; I work most weekends.</t>
  </si>
  <si>
    <t>R0033</t>
  </si>
  <si>
    <t>R0034</t>
  </si>
  <si>
    <t>New CRM has made work easier. Workload is manageable and well planned.</t>
  </si>
  <si>
    <t>R0035</t>
  </si>
  <si>
    <t>Health insurance for parents is a big plus. Hybrid work helps me balance family.</t>
  </si>
  <si>
    <t>R0036</t>
  </si>
  <si>
    <t>New CRM has made work easier. Health insurance for parents is a big plus.</t>
  </si>
  <si>
    <t>R0037</t>
  </si>
  <si>
    <t>Internal jobs go to outsiders first. Leave approvals are very slow.</t>
  </si>
  <si>
    <t>R0038</t>
  </si>
  <si>
    <t>Workload is manageable and well planned. Health insurance for parents is a big plus.</t>
  </si>
  <si>
    <t>R0039</t>
  </si>
  <si>
    <t>R0040</t>
  </si>
  <si>
    <t>Workload is manageable and well planned. Laptops and tools are good.</t>
  </si>
  <si>
    <t>R0041</t>
  </si>
  <si>
    <t>My manager gives regular, useful feedback. Workload is manageable and well planned.</t>
  </si>
  <si>
    <t>R0042</t>
  </si>
  <si>
    <t>Feedback only comes during appraisal.</t>
  </si>
  <si>
    <t>R0043</t>
  </si>
  <si>
    <t>R0044</t>
  </si>
  <si>
    <t>R0045</t>
  </si>
  <si>
    <t>R0046</t>
  </si>
  <si>
    <t>R0047</t>
  </si>
  <si>
    <t>R0048</t>
  </si>
  <si>
    <t>No clear promotion criteria. Too many parallel projects; I work most weekends.</t>
  </si>
  <si>
    <t>R0049</t>
  </si>
  <si>
    <t>R0050</t>
  </si>
  <si>
    <t>My manager rarely has time for one-on-ones. Systems are slow and crash often.</t>
  </si>
  <si>
    <t>R0051</t>
  </si>
  <si>
    <t>R0052</t>
  </si>
  <si>
    <t>There are clear growth paths here.</t>
  </si>
  <si>
    <t>R0053</t>
  </si>
  <si>
    <t>I feel supported by my reporting manager. Deadlines are realistic in my team.</t>
  </si>
  <si>
    <t>R0054</t>
  </si>
  <si>
    <t>R0055</t>
  </si>
  <si>
    <t>We still use too many manual Excel reports. Recent return-to-office rule hurts my commute.</t>
  </si>
  <si>
    <t>R0056</t>
  </si>
  <si>
    <t>Internal jobs go to outsiders first. We still use too many manual Excel reports.</t>
  </si>
  <si>
    <t>R0057</t>
  </si>
  <si>
    <t>New CRM has made work easier.</t>
  </si>
  <si>
    <t>R0058</t>
  </si>
  <si>
    <t>No clear promotion criteria. Pay is below what competitors offer.</t>
  </si>
  <si>
    <t>R0059</t>
  </si>
  <si>
    <t>R0060</t>
  </si>
  <si>
    <t>No clear promotion criteria. Increments did not match inflation this year.</t>
  </si>
  <si>
    <t>R0061</t>
  </si>
  <si>
    <t>My manager gives regular, useful feedback. Health insurance for parents is a big plus.</t>
  </si>
  <si>
    <t>R0062</t>
  </si>
  <si>
    <t>Systems are slow and crash often. Staff shortage means we do two people's work.</t>
  </si>
  <si>
    <t>R0063</t>
  </si>
  <si>
    <t>I feel supported by my reporting manager.</t>
  </si>
  <si>
    <t>R0064</t>
  </si>
  <si>
    <t>R0065</t>
  </si>
  <si>
    <t>R0066</t>
  </si>
  <si>
    <t>Health insurance for parents is a big plus. Deadlines are realistic in my team.</t>
  </si>
  <si>
    <t>R0067</t>
  </si>
  <si>
    <t>R0068</t>
  </si>
  <si>
    <t>Salary is fair for the market. My manager gives regular, useful feedback.</t>
  </si>
  <si>
    <t>R0069</t>
  </si>
  <si>
    <t>We still use too many manual Excel reports.</t>
  </si>
  <si>
    <t>R0070</t>
  </si>
  <si>
    <t>R0071</t>
  </si>
  <si>
    <t>R0072</t>
  </si>
  <si>
    <t>Health insurance for parents is a big plus. I feel supported by my reporting manager.</t>
  </si>
  <si>
    <t>R0073</t>
  </si>
  <si>
    <t>Recent return-to-office rule hurts my commute. Feedback only comes during appraisal.</t>
  </si>
  <si>
    <t>R0074</t>
  </si>
  <si>
    <t>Workload is manageable and well planned.</t>
  </si>
  <si>
    <t>R0075</t>
  </si>
  <si>
    <t>R0076</t>
  </si>
  <si>
    <t>Workload is manageable and well planned. I was promoted on time and learnt a lot.</t>
  </si>
  <si>
    <t>R0077</t>
  </si>
  <si>
    <t>R0078</t>
  </si>
  <si>
    <t>Increments did not match inflation this year. We still use too many manual Excel reports.</t>
  </si>
  <si>
    <t>R0079</t>
  </si>
  <si>
    <t>R0080</t>
  </si>
  <si>
    <t>R0081</t>
  </si>
  <si>
    <t>Leave approvals are very slow. We still use too many manual Excel reports.</t>
  </si>
  <si>
    <t>R0082</t>
  </si>
  <si>
    <t>R0083</t>
  </si>
  <si>
    <t>Increments did not match inflation this year. No clear promotion criteria.</t>
  </si>
  <si>
    <t>R0084</t>
  </si>
  <si>
    <t>Hybrid work helps me balance family. Health insurance for parents is a big plus.</t>
  </si>
  <si>
    <t>R0085</t>
  </si>
  <si>
    <t>Flexible hours are very helpful. Deadlines are realistic in my team.</t>
  </si>
  <si>
    <t>R0086</t>
  </si>
  <si>
    <t>Salary is fair for the market. Deadlines are realistic in my team.</t>
  </si>
  <si>
    <t>R0087</t>
  </si>
  <si>
    <t>Systems are slow and crash often. Increments did not match inflation this year.</t>
  </si>
  <si>
    <t>R0088</t>
  </si>
  <si>
    <t>Recent return-to-office rule hurts my commute.</t>
  </si>
  <si>
    <t>R0089</t>
  </si>
  <si>
    <t>R0090</t>
  </si>
  <si>
    <t>R0091</t>
  </si>
  <si>
    <t>R0092</t>
  </si>
  <si>
    <t>R0093</t>
  </si>
  <si>
    <t>R0094</t>
  </si>
  <si>
    <t>My manager rarely has time for one-on-ones. Leave approvals are very slow.</t>
  </si>
  <si>
    <t>R0095</t>
  </si>
  <si>
    <t>R0096</t>
  </si>
  <si>
    <t>R0097</t>
  </si>
  <si>
    <t>R0098</t>
  </si>
  <si>
    <t>R0099</t>
  </si>
  <si>
    <t>R0100</t>
  </si>
  <si>
    <t>My manager gives regular, useful feedback. Laptops and tools are good.</t>
  </si>
  <si>
    <t>R0101</t>
  </si>
  <si>
    <t>R0102</t>
  </si>
  <si>
    <t>R0103</t>
  </si>
  <si>
    <t>R0104</t>
  </si>
  <si>
    <t>Staff shortage means we do two people's work. Recent return-to-office rule hurts my commute.</t>
  </si>
  <si>
    <t>R0105</t>
  </si>
  <si>
    <t>Pay is below what competitors offer. Staff shortage means we do two people's work.</t>
  </si>
  <si>
    <t>R0106</t>
  </si>
  <si>
    <t>Pay is below what competitors offer. My manager rarely has time for one-on-ones.</t>
  </si>
  <si>
    <t>R0107</t>
  </si>
  <si>
    <t>R0108</t>
  </si>
  <si>
    <t>Pay is below what competitors offer.</t>
  </si>
  <si>
    <t>R0109</t>
  </si>
  <si>
    <t>R0110</t>
  </si>
  <si>
    <t>Deadlines are realistic in my team.</t>
  </si>
  <si>
    <t>R0111</t>
  </si>
  <si>
    <t>My manager gives regular, useful feedback. Deadlines are realistic in my team.</t>
  </si>
  <si>
    <t>R0112</t>
  </si>
  <si>
    <t>Hybrid work helps me balance family. There are clear growth paths here.</t>
  </si>
  <si>
    <t>R0113</t>
  </si>
  <si>
    <t>My manager rarely has time for one-on-ones. No clear promotion criteria.</t>
  </si>
  <si>
    <t>R0114</t>
  </si>
  <si>
    <t>R0115</t>
  </si>
  <si>
    <t>Recent return-to-office rule hurts my commute. My manager rarely has time for one-on-ones.</t>
  </si>
  <si>
    <t>R0116</t>
  </si>
  <si>
    <t>R0117</t>
  </si>
  <si>
    <t>Too many parallel projects; I work most weekends. Feedback only comes during appraisal.</t>
  </si>
  <si>
    <t>R0118</t>
  </si>
  <si>
    <t>R0119</t>
  </si>
  <si>
    <t>Too many parallel projects; I work most weekends. Leave approvals are very slow.</t>
  </si>
  <si>
    <t>R0120</t>
  </si>
  <si>
    <t>R0121</t>
  </si>
  <si>
    <t>Recent return-to-office rule hurts my commute. Internal jobs go to outsiders first.</t>
  </si>
  <si>
    <t>R0122</t>
  </si>
  <si>
    <t>R0123</t>
  </si>
  <si>
    <t>R0124</t>
  </si>
  <si>
    <t>Recent return-to-office rule hurts my commute. Systems are slow and crash often.</t>
  </si>
  <si>
    <t>R0125</t>
  </si>
  <si>
    <t>R0126</t>
  </si>
  <si>
    <t>Flexible hours are very helpful. Workload is manageable and well planned.</t>
  </si>
  <si>
    <t>R0127</t>
  </si>
  <si>
    <t>R0128</t>
  </si>
  <si>
    <t>R0129</t>
  </si>
  <si>
    <t>R0130</t>
  </si>
  <si>
    <t>R0131</t>
  </si>
  <si>
    <t>R0132</t>
  </si>
  <si>
    <t>Salary is fair for the market. Laptops and tools are good.</t>
  </si>
  <si>
    <t>R0133</t>
  </si>
  <si>
    <t>R0134</t>
  </si>
  <si>
    <t>Leave approvals are very slow. Too many parallel projects; I work most weekends.</t>
  </si>
  <si>
    <t>R0135</t>
  </si>
  <si>
    <t>Salary is fair for the market. Workload is manageable and well planned.</t>
  </si>
  <si>
    <t>R0136</t>
  </si>
  <si>
    <t>No clear promotion criteria. Feedback only comes during appraisal.</t>
  </si>
  <si>
    <t>R0137</t>
  </si>
  <si>
    <t>R0138</t>
  </si>
  <si>
    <t>R0139</t>
  </si>
  <si>
    <t>R0140</t>
  </si>
  <si>
    <t>R0141</t>
  </si>
  <si>
    <t>R0142</t>
  </si>
  <si>
    <t>My manager gives regular, useful feedback. I was promoted on time and learnt a lot.</t>
  </si>
  <si>
    <t>R0143</t>
  </si>
  <si>
    <t>R0144</t>
  </si>
  <si>
    <t>Pay is below what competitors offer. Too many parallel projects; I work most weekends.</t>
  </si>
  <si>
    <t>R0145</t>
  </si>
  <si>
    <t>R0146</t>
  </si>
  <si>
    <t>R0147</t>
  </si>
  <si>
    <t>R0148</t>
  </si>
  <si>
    <t>Feedback only comes during appraisal. Increments did not match inflation this year.</t>
  </si>
  <si>
    <t>R0149</t>
  </si>
  <si>
    <t>R0150</t>
  </si>
  <si>
    <t>Deadlines are realistic in my team. There are clear growth paths here.</t>
  </si>
  <si>
    <t>R0151</t>
  </si>
  <si>
    <t>R0152</t>
  </si>
  <si>
    <t>R0153</t>
  </si>
  <si>
    <t>R0154</t>
  </si>
  <si>
    <t>New CRM has made work easier. I was promoted on time and learnt a lot.</t>
  </si>
  <si>
    <t>R0155</t>
  </si>
  <si>
    <t>R0156</t>
  </si>
  <si>
    <t>R0157</t>
  </si>
  <si>
    <t>R0158</t>
  </si>
  <si>
    <t>Pay is below what competitors offer. We still use too many manual Excel reports.</t>
  </si>
  <si>
    <t>R0159</t>
  </si>
  <si>
    <t>R0160</t>
  </si>
  <si>
    <t>R0161</t>
  </si>
  <si>
    <t>R0162</t>
  </si>
  <si>
    <t>Too many parallel projects; I work most weekends. Systems are slow and crash often.</t>
  </si>
  <si>
    <t>R0163</t>
  </si>
  <si>
    <t>R0164</t>
  </si>
  <si>
    <t>Health insurance for parents is a big plus.</t>
  </si>
  <si>
    <t>R0165</t>
  </si>
  <si>
    <t>R0166</t>
  </si>
  <si>
    <t>Workload is manageable and well planned. Hybrid work helps me balance family.</t>
  </si>
  <si>
    <t>R0167</t>
  </si>
  <si>
    <t>R0168</t>
  </si>
  <si>
    <t>Too many parallel projects; I work most weekends. We still use too many manual Excel reports.</t>
  </si>
  <si>
    <t>R0169</t>
  </si>
  <si>
    <t>Laptops and tools are good. Health insurance for parents is a big plus.</t>
  </si>
  <si>
    <t>R0170</t>
  </si>
  <si>
    <t>R0171</t>
  </si>
  <si>
    <t>R0172</t>
  </si>
  <si>
    <t>R0173</t>
  </si>
  <si>
    <t>R0174</t>
  </si>
  <si>
    <t>R0175</t>
  </si>
  <si>
    <t>R0176</t>
  </si>
  <si>
    <t>R0177</t>
  </si>
  <si>
    <t>R0178</t>
  </si>
  <si>
    <t>Systems are slow and crash often. Leave approvals are very slow.</t>
  </si>
  <si>
    <t>R0179</t>
  </si>
  <si>
    <t>Feedback only comes during appraisal. Leave approvals are very slow.</t>
  </si>
  <si>
    <t>R0180</t>
  </si>
  <si>
    <t>Recent return-to-office rule hurts my commute. No clear promotion criteria.</t>
  </si>
  <si>
    <t>R0181</t>
  </si>
  <si>
    <t>R0182</t>
  </si>
  <si>
    <t>R0183</t>
  </si>
  <si>
    <t>Feedback only comes during appraisal. Pay is below what competitors offer.</t>
  </si>
  <si>
    <t>R0184</t>
  </si>
  <si>
    <t>R0185</t>
  </si>
  <si>
    <t>Salary is fair for the market. I was promoted on time and learnt a lot.</t>
  </si>
  <si>
    <t>R0186</t>
  </si>
  <si>
    <t>R0187</t>
  </si>
  <si>
    <t>R0188</t>
  </si>
  <si>
    <t>R0189</t>
  </si>
  <si>
    <t>No clear promotion criteria. Recent return-to-office rule hurts my commute.</t>
  </si>
  <si>
    <t>R0190</t>
  </si>
  <si>
    <t>Hybrid work helps me balance family.</t>
  </si>
  <si>
    <t>R0191</t>
  </si>
  <si>
    <t>R0192</t>
  </si>
  <si>
    <t>Staff shortage means we do two people's work. Internal jobs go to outsiders first.</t>
  </si>
  <si>
    <t>R0193</t>
  </si>
  <si>
    <t>R0194</t>
  </si>
  <si>
    <t>R0195</t>
  </si>
  <si>
    <t>R0196</t>
  </si>
  <si>
    <t>R0197</t>
  </si>
  <si>
    <t>R0198</t>
  </si>
  <si>
    <t>My manager rarely has time for one-on-ones. Internal jobs go to outsiders first.</t>
  </si>
  <si>
    <t>R0199</t>
  </si>
  <si>
    <t>R0200</t>
  </si>
  <si>
    <t>R0201</t>
  </si>
  <si>
    <t>R0202</t>
  </si>
  <si>
    <t>Laptops and tools are good. Flexible hours are very helpful.</t>
  </si>
  <si>
    <t>R0203</t>
  </si>
  <si>
    <t>R0204</t>
  </si>
  <si>
    <t>R0205</t>
  </si>
  <si>
    <t>R0206</t>
  </si>
  <si>
    <t>R0207</t>
  </si>
  <si>
    <t>There are clear growth paths here. My manager gives regular, useful feedback.</t>
  </si>
  <si>
    <t>R0208</t>
  </si>
  <si>
    <t>R0209</t>
  </si>
  <si>
    <t>Deadlines are realistic in my team. My manager gives regular, useful feedback.</t>
  </si>
  <si>
    <t>R0210</t>
  </si>
  <si>
    <t>R0211</t>
  </si>
  <si>
    <t>R0212</t>
  </si>
  <si>
    <t>R0213</t>
  </si>
  <si>
    <t>We still use too many manual Excel reports. Feedback only comes during appraisal.</t>
  </si>
  <si>
    <t>R0214</t>
  </si>
  <si>
    <t>R0215</t>
  </si>
  <si>
    <t>R0216</t>
  </si>
  <si>
    <t>We still use too many manual Excel reports. No clear promotion criteria.</t>
  </si>
  <si>
    <t>R0217</t>
  </si>
  <si>
    <t>R0218</t>
  </si>
  <si>
    <t>R0219</t>
  </si>
  <si>
    <t>R0220</t>
  </si>
  <si>
    <t>R0221</t>
  </si>
  <si>
    <t>Laptops and tools are good. I was promoted on time and learnt a lot.</t>
  </si>
  <si>
    <t>R0222</t>
  </si>
  <si>
    <t>R0223</t>
  </si>
  <si>
    <t>R0224</t>
  </si>
  <si>
    <t>R0225</t>
  </si>
  <si>
    <t>R0226</t>
  </si>
  <si>
    <t>Feedback only comes during appraisal. Staff shortage means we do two people's work.</t>
  </si>
  <si>
    <t>R0227</t>
  </si>
  <si>
    <t>R0228</t>
  </si>
  <si>
    <t>We still use too many manual Excel reports. Staff shortage means we do two people's work.</t>
  </si>
  <si>
    <t>R0229</t>
  </si>
  <si>
    <t>R0230</t>
  </si>
  <si>
    <t>R0231</t>
  </si>
  <si>
    <t>R0232</t>
  </si>
  <si>
    <t>Internal jobs go to outsiders first. Feedback only comes during appraisal.</t>
  </si>
  <si>
    <t>R0233</t>
  </si>
  <si>
    <t>Too many parallel projects; I work most weekends. No clear promotion criteria.</t>
  </si>
  <si>
    <t>R0234</t>
  </si>
  <si>
    <t>R0235</t>
  </si>
  <si>
    <t>Internal jobs go to outsiders first. Increments did not match inflation this year.</t>
  </si>
  <si>
    <t>R0236</t>
  </si>
  <si>
    <t>R0237</t>
  </si>
  <si>
    <t>Flexible hours are very helpful. New CRM has made work easier.</t>
  </si>
  <si>
    <t>R0238</t>
  </si>
  <si>
    <t>R0239</t>
  </si>
  <si>
    <t>R0240</t>
  </si>
  <si>
    <t>R0241</t>
  </si>
  <si>
    <t>R0242</t>
  </si>
  <si>
    <t>Leave approvals are very slow. No clear promotion criteria.</t>
  </si>
  <si>
    <t>R0243</t>
  </si>
  <si>
    <t>R0244</t>
  </si>
  <si>
    <t>R0245</t>
  </si>
  <si>
    <t>R0246</t>
  </si>
  <si>
    <t>R0247</t>
  </si>
  <si>
    <t>R0248</t>
  </si>
  <si>
    <t>Deadlines are realistic in my team. Flexible hours are very helpful.</t>
  </si>
  <si>
    <t>R0249</t>
  </si>
  <si>
    <t>Too many parallel projects; I work most weekends. Recent return-to-office rule hurts my commute.</t>
  </si>
  <si>
    <t>R0250</t>
  </si>
  <si>
    <t>R0251</t>
  </si>
  <si>
    <t>R0252</t>
  </si>
  <si>
    <t>R0253</t>
  </si>
  <si>
    <t>R0254</t>
  </si>
  <si>
    <t>R0255</t>
  </si>
  <si>
    <t>Internal jobs go to outsiders first. Systems are slow and crash often.</t>
  </si>
  <si>
    <t>R0256</t>
  </si>
  <si>
    <t>R0257</t>
  </si>
  <si>
    <t>My manager rarely has time for one-on-ones. Recent return-to-office rule hurts my commute.</t>
  </si>
  <si>
    <t>R0258</t>
  </si>
  <si>
    <t>R0259</t>
  </si>
  <si>
    <t>R0260</t>
  </si>
  <si>
    <t>R0261</t>
  </si>
  <si>
    <t>R0262</t>
  </si>
  <si>
    <t>R0263</t>
  </si>
  <si>
    <t>Laptops and tools are good. There are clear growth paths here.</t>
  </si>
  <si>
    <t>R0264</t>
  </si>
  <si>
    <t>R0265</t>
  </si>
  <si>
    <t>R0266</t>
  </si>
  <si>
    <t>Pay is below what competitors offer. Leave approvals are very slow.</t>
  </si>
  <si>
    <t>R0267</t>
  </si>
  <si>
    <t>R0268</t>
  </si>
  <si>
    <t>R0269</t>
  </si>
  <si>
    <t>Too many parallel projects; I work most weekends. My manager rarely has time for one-on-ones.</t>
  </si>
  <si>
    <t>R0270</t>
  </si>
  <si>
    <t>R0271</t>
  </si>
  <si>
    <t>R0272</t>
  </si>
  <si>
    <t>Feedback only comes during appraisal. No clear promotion criteria.</t>
  </si>
  <si>
    <t>R0273</t>
  </si>
  <si>
    <t>R0274</t>
  </si>
  <si>
    <t>R0275</t>
  </si>
  <si>
    <t>R0276</t>
  </si>
  <si>
    <t>R0277</t>
  </si>
  <si>
    <t>R0278</t>
  </si>
  <si>
    <t>R0279</t>
  </si>
  <si>
    <t>R0280</t>
  </si>
  <si>
    <t>R0281</t>
  </si>
  <si>
    <t>R0282</t>
  </si>
  <si>
    <t>Leave approvals are very slow. Pay is below what competitors offer.</t>
  </si>
  <si>
    <t>R0283</t>
  </si>
  <si>
    <t>Laptops and tools are good. I feel supported by my reporting manager.</t>
  </si>
  <si>
    <t>R0284</t>
  </si>
  <si>
    <t>Feedback only comes during appraisal. Recent return-to-office rule hurts my commute.</t>
  </si>
  <si>
    <t>R0285</t>
  </si>
  <si>
    <t>Hybrid work helps me balance family. Salary is fair for the market.</t>
  </si>
  <si>
    <t>R0286</t>
  </si>
  <si>
    <t>R0287</t>
  </si>
  <si>
    <t>R0288</t>
  </si>
  <si>
    <t>R0289</t>
  </si>
  <si>
    <t>R0290</t>
  </si>
  <si>
    <t>Increments did not match inflation this year. Recent return-to-office rule hurts my commute.</t>
  </si>
  <si>
    <t>R0291</t>
  </si>
  <si>
    <t>R0292</t>
  </si>
  <si>
    <t>R0293</t>
  </si>
  <si>
    <t>R0294</t>
  </si>
  <si>
    <t>R0295</t>
  </si>
  <si>
    <t>R0296</t>
  </si>
  <si>
    <t>R0297</t>
  </si>
  <si>
    <t>R0298</t>
  </si>
  <si>
    <t>R0299</t>
  </si>
  <si>
    <t>Feedback only comes during appraisal. Systems are slow and crash often.</t>
  </si>
  <si>
    <t>R0300</t>
  </si>
  <si>
    <t>true_themes</t>
  </si>
  <si>
    <t>true_tone</t>
  </si>
  <si>
    <t>Manager support</t>
  </si>
  <si>
    <t>Positive</t>
  </si>
  <si>
    <t>Flexibility</t>
  </si>
  <si>
    <t>Manager support; Flexibility</t>
  </si>
  <si>
    <t>Tools and systems; Manager support</t>
  </si>
  <si>
    <t>Negative</t>
  </si>
  <si>
    <t>Career growth</t>
  </si>
  <si>
    <t>Workload</t>
  </si>
  <si>
    <t>Pay and benefits; Manager support</t>
  </si>
  <si>
    <t>Pay and benefits; Career growth</t>
  </si>
  <si>
    <t>Workload; Tools and systems</t>
  </si>
  <si>
    <t>Pay and benefits</t>
  </si>
  <si>
    <t>Flexibility; Workload</t>
  </si>
  <si>
    <t>Manager support; Pay and benefits</t>
  </si>
  <si>
    <t>Tools and systems</t>
  </si>
  <si>
    <t>Flexibility; Career growth</t>
  </si>
  <si>
    <t>Manager support; Tools and systems</t>
  </si>
  <si>
    <t>Career growth; Manager support</t>
  </si>
  <si>
    <t>Workload; Flexibility</t>
  </si>
  <si>
    <t>Tools and systems; Workload</t>
  </si>
  <si>
    <t>Pay and benefits; Flexibility</t>
  </si>
  <si>
    <t>Tools and systems; Pay and benefits</t>
  </si>
  <si>
    <t>Career growth; Flexibility</t>
  </si>
  <si>
    <t>Workload; Pay and benefits</t>
  </si>
  <si>
    <t>Manager support; Workload</t>
  </si>
  <si>
    <t>Career growth; Workload</t>
  </si>
  <si>
    <t>Tools and systems; Flexibility</t>
  </si>
  <si>
    <t>Career growth; Tools and systems</t>
  </si>
  <si>
    <t>Career growth; Pay and benefits</t>
  </si>
  <si>
    <t>Pay and benefits; Workload</t>
  </si>
  <si>
    <t>Flexibility; Manager support</t>
  </si>
  <si>
    <t>Workload; Career growth</t>
  </si>
  <si>
    <t>Pay and benefits; Tools and systems</t>
  </si>
  <si>
    <t>Flexibility; Tools and systems</t>
  </si>
  <si>
    <t>Flexibility; Pay and benefits</t>
  </si>
  <si>
    <t>Manager support; Career growth</t>
  </si>
  <si>
    <t>Workload; Manager support</t>
  </si>
  <si>
    <t>Tools and systems; Career growth</t>
  </si>
  <si>
    <t>sheet</t>
  </si>
  <si>
    <t>column</t>
  </si>
  <si>
    <t>data_type</t>
  </si>
  <si>
    <t>example_value</t>
  </si>
  <si>
    <t>non_empty_values</t>
  </si>
  <si>
    <t>distinct_values</t>
  </si>
  <si>
    <t>Responses</t>
  </si>
  <si>
    <t>Text</t>
  </si>
  <si>
    <t>Whole number</t>
  </si>
  <si>
    <t>4</t>
  </si>
  <si>
    <t>5</t>
  </si>
  <si>
    <t>3</t>
  </si>
  <si>
    <t>8</t>
  </si>
  <si>
    <t>Gold Labels (evaluation)</t>
  </si>
  <si>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</si>
  <si>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</si>
  <si>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</si>
  <si>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</si>
  <si>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</si>
  <si>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</si>
  <si>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</si>
  <si>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</si>
  <si>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</si>
  <si>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</si>
  <si>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</si>
  <si>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</si>
  <si>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Gemini (free)</t>
  </si>
  <si>
    <t>Gemini app, default</t>
  </si>
  <si>
    <t>-</t>
  </si>
  <si>
    <t>You are a business analyst. Using the attached sheet for 'Employee survey theme coder', list the first 3 steps to build it and what could go wrong.</t>
  </si>
  <si>
    <t>Clear steps, but assumed a column that does not exist</t>
  </si>
  <si>
    <t>Told it the exact column names and asked it to recheck</t>
  </si>
  <si>
    <t>Rejected</t>
  </si>
  <si>
    <t>screenshot_01.png</t>
  </si>
  <si>
    <t>ChatGPT</t>
  </si>
  <si>
    <t>Role: You are a business analyst.
Task: Read my file and list the first 5 steps to sort the open comments into themes. Also say what could go wrong.
Context: The file has 300 employee survey rows. The columns are response_id, department, tenure_band, q1 to q5 scores, enps_0to10 and open_comment.
Format: A numbered list in easy English.
Rules: Use only the real column names. Do not guess any column.</t>
  </si>
  <si>
    <t>Gave 5 clear steps, each with a 'what could go wrong' line. Used the real column open_comment. It stayed general and did not name themes yet.</t>
  </si>
  <si>
    <t>Nothing to fix. Moved on to asking for themes.</t>
  </si>
  <si>
    <t>Kept</t>
  </si>
  <si>
    <t>Role: You are an HR researcher.
Task: Read all open_comment values and suggest 6 themes.
Context: This is an employee engagement survey.
Format: A table with theme name, short meaning, and 2 example comments.
Rules: Themes must not overlap. Use only comments from the file.</t>
  </si>
  <si>
    <t>Gave 6 themes (Manager support, Flexibility, Workload, Tools and systems, Pay and benefits, Career growth) with 2 real example comments each. Themes mostly do not overlap. It also warned that one comment can have more than one issue.</t>
  </si>
  <si>
    <t>Used these 6 themes as the base for the codebook.</t>
  </si>
  <si>
    <t>Role: You are an expert in survey coding.
Task: Turn these themes into a codebook: [paste themes].
Context: I will use it to code 300 comments.
Format: A table with theme, meaning, "code it when", "do not code it when", and 3 keywords.
Rules: Keep the words simple. Give each theme a different meaning.</t>
  </si>
  <si>
    <t>Made a table with meaning, 'code it when', 'do not code it when' and 3 keywords for each theme, in easy words. But it had no rule for comments with two themes and no rule for tone. I also left the placeholder [paste themes] in the prompt; it still worked because the themes were already in the chat.</t>
  </si>
  <si>
    <t>Wrote a new prompt to add rules for two-theme comments and tone, because this codebook was not enough to code 300 comments in the same way.</t>
  </si>
  <si>
    <t>Kept, then improved (see next row)</t>
  </si>
  <si>
    <t>Role: You are a survey coding expert.
Task: Add clear rules to the above codebook for comments with two ideas and for tone
Context: Some comments have two sentences. One can be good and one bad.
Format: A short list of rules, then the final codebook.
Rules: Use easy words. Give one example for each rule.</t>
  </si>
  <si>
    <t>IMPROVEMENT ROUND 1 (codebook). Added 7 short rules with one example each (two themes allowed, no loose second theme, how to decide tone) and gave the final codebook. But it added 'Mixed' and 'Neutral' tone options, and my coding prompts only allow Positive or Negative.</t>
  </si>
  <si>
    <t>Kept the theme rules. In the coding prompts I told it tone is only Positive or Negative.</t>
  </si>
  <si>
    <t>Role: You are a careful coder.
Task: Code each comment using my codebook
Context: A comment can have one or two themes. Tone is Positive or Negative.
Format: A table with response_id, themes (separated by ";"), tone.
Rules: Use only theme names from the codebook. Do not explain.</t>
  </si>
  <si>
    <t>Coded the 30 test rows in the right table format with no explanation. But 2 rows had an empty themes cell (R0011 and R0017), so the output was not complete.</t>
  </si>
  <si>
    <t>IMPROVEMENT ROUND 2 (blank themes). Added a new rule to the next prompts: 'Dont miss any theme blank use the one which suits the best', so every row gets a theme.</t>
  </si>
  <si>
    <t>Partly rejected: blank rows not accepted, prompt re-sent with a stricter rule</t>
  </si>
  <si>
    <t>Role: You are a careful coder.
Task: Code all 100 comments using the final codebook
Format: A table with response_id, themes (separated by ";"), tone.
Rules: Keep the same order as the file. Use only codebook theme names. Do not skip any row. Dont miss any theme blank use the one which suits the best</t>
  </si>
  <si>
    <t>Used the same prompt for the next two batches.</t>
  </si>
  <si>
    <t>Coded rows 101-200 in the same format. No blank themes in the rows I could see. Tone is only Positive or Negative.</t>
  </si>
  <si>
    <t>No change. Used the same prompt for rows 201-300.</t>
  </si>
  <si>
    <t>Coded rows 201-300 in the same format with no blank themes in the rows I could see.</t>
  </si>
  <si>
    <t>Asked it to put all three batches into one Excel file.</t>
  </si>
  <si>
    <t>Attach all the outputs from 1-300 to 1 excel file</t>
  </si>
  <si>
    <t>Combined R0001-R0300 into one Excel file with response_id, themes and tone. Fast, but I must not trust the row count until it is checked.</t>
  </si>
  <si>
    <t>Ran a checking prompt on the file next.</t>
  </si>
  <si>
    <t>Role: You are a data checker.
Task: Check my coded file for problems.
Context: It should have 300 rows. Every row should have themes and tone filled in.
Format: A short list: total rows, empty cells, and any theme name that is not in my codebook.
Rules: Do not change my data. Only report what you find.</t>
  </si>
  <si>
    <t>Reported 300 rows, 0 empty theme cells, 0 empty tone cells and no theme name outside the codebook. Short and clear. It only checks that the file is complete, not that the codes are correct.</t>
  </si>
  <si>
    <t>Nothing to fix. Moved on to counting themes. Correctness is checked separately with the 50-row gold check.</t>
  </si>
  <si>
    <t>Role: You are a data analyst.
 Task: Count how many comments each theme has. Split each theme into Positive and Negative.
 Format: One small table with a total row.
 Rules: Tell me how to check the total in Excel. The theme counts can add up to more than 300 because some comments have two themes.</t>
  </si>
  <si>
    <t>Gave a table with Positive, Negative and Total for each theme (Positive 203, Negative 248, Total 451) and explained why the total is more than 300. Also gave Excel COUNTIFS formulas so I can check it.</t>
  </si>
  <si>
    <t>Used the same file to count by department next.</t>
  </si>
  <si>
    <t>Role: You are a data analyst.
Task: Show how many comments each department has for each theme. Say which department has the most Negative comments.
Format: A table with departments as rows and themes as columns, then 2 simple sentences.
Rules: Use only my file. Show the total so I can check it.</t>
  </si>
  <si>
    <t>Gave a department-by-theme table with total 451. It said Operations has the most Negative comments (32). But the table shows all comments, not only Negative ones, so the 32 is not visible in the table.</t>
  </si>
  <si>
    <t>Asked it to add the tables to the Excel file. I will check the Operations Negative count in Excel myself.</t>
  </si>
  <si>
    <t>Kept, but the Operations claim needs a manual check</t>
  </si>
  <si>
    <t>add this table and the above prompts to the excel sheet you gave me</t>
  </si>
  <si>
    <t>Created T38_Coded_Comments_1-300_Complete.xlsx with the sheets Coded Comments, Theme Counts, Department x Theme Counts and Prompts. Did what I asked.</t>
  </si>
  <si>
    <t>Kept adding the next analysis to the same file.</t>
  </si>
  <si>
    <t>Role: You are a data analyst.
Task: For each theme, compare the linked question score and eNPS for Negative comments against everyone else.
Context: Manager support goes with q2. Pay and benefits goes with q3. Career growth goes with q4. Flexibility and Workload go with q5. Tools and systems goes with q1. eNPS means % of scores 9-10 minus % of scores 0-6.
Format: A table, then 3 simple findings. add this table to the excel sheet
Rules: Show how you worked it out so I can check it in Excel.</t>
  </si>
  <si>
    <t>Gave a table of linked-question average and eNPS for Negative comments against everyone else for all 6 themes, plus 3 findings (Tools and systems has the biggest score gap, -0.78; Workload has the biggest eNPS gap, -52.50). But the extra sheet only showed formulas, not the actual numbers, and it only compared averages, not low scores (1 or 2).</t>
  </si>
  <si>
    <t>Told it I could not find the numbers (next row). Later I wrote a stricter version of this prompt that counts low scores.</t>
  </si>
  <si>
    <t>Kept, then improved (see next rows)</t>
  </si>
  <si>
    <t>I am unable to find the nos just the formulas</t>
  </si>
  <si>
    <t>IMPROVEMENT ROUND 3 (show the numbers). It fixed the problem: the Analysis Check sheet now shows negative counts, sums, averages, promoters, detractors, % promoters, % detractors, eNPS and eNPS difference, so I can check each step in Excel.</t>
  </si>
  <si>
    <t>Used the numbers to ask for a recalculation check.</t>
  </si>
  <si>
    <t>Role: You are a careful checker.
Task: Recalculate the average q5 score and eNPS for Workload Negative comments, and check them against this row
Format: Your answer, my answer, and "match" or "no match".
Rules: Show the steps. If the numbers do not match, say which is right and why.</t>
  </si>
  <si>
    <t>Recalculated Workload Negative comments: 40 comments, q5 sum 126, average 3.15, eNPS -87.50 (0 promoters, 35 detractors) and said MATCH. But I did not paste the row, so it compared against its own earlier table. This is a weak check.</t>
  </si>
  <si>
    <t>Next: check the same numbers by hand in Excel using the Analysis Check sheet, and write the result here.</t>
  </si>
  <si>
    <t>Kept, but needs my own Excel check</t>
  </si>
  <si>
    <t>Role: You are an HR data analyst.
Task: Write 5 key findings for the HR head using these tables. 
Format: 5 short sentences, each with one number from my tables.
Rules: Use only my numbers. Put the biggest problem first. Use easy words.</t>
  </si>
  <si>
    <t>Wrote 5 short findings, each with one number, biggest problem first (Workload, -52.50 eNPS difference). Easy words. But all 5 findings use only the eNPS difference, so they do not use the Likert score gap or the share of low scores.</t>
  </si>
  <si>
    <t>Asked for a Likert summary and a low-score analysis (next two prompts) to give stronger evidence.</t>
  </si>
  <si>
    <t>Role: You are a data analyst.
Task: Calculate the Likert scores for q1 to q5.
Context: Each question is scored from 1 (bad) to 5 (good). A score of 1 or 2 is a low score. A score of 4 or 5 is a high score.
Format: One table with a row for each question and these columns: average score, % low scores, % high scores. Then a second table with the average score of each question for each department. add that to the sheet
Rules: Use only my file. Show how you worked it out so I can check it in Excel. Say which question has the lowest average.</t>
  </si>
  <si>
    <t>Gave a Likert table: average, % low (1-2) and % high (4-5) for q1-q5, plus average by department. Said q2 has the lowest average (3.25). Note: q1 has the highest % of low scores (23.33%), so the lowest average is not the only view. Added Likert Summary, Dept Likert Averages and Likert Check sheets.</t>
  </si>
  <si>
    <t>Used the low-score idea to rewrite the theme-link prompt.</t>
  </si>
  <si>
    <t>Role: You are a data analyst.
Task: For each theme, find how many Negative comments came from people who gave a low score (1 or 2) on the linked question. Compare them with everyone else.
Context: Manager support goes with q2. Pay and benefits goes with q3. Career growth goes with q4. Flexibility and Workload go with q5. Tools and systems goes with q1. Count a person once for each theme in their comment. eNPS means % of scores 9-10 minus % of scores 0-6.
Format: A table with these columns: theme, linked question, number of Negative comments, % of them with a low score, average score for Negative comments, average score for everyone else, eNPS for Negative comments, eNPS for everyone else. Then 3 simple findings.
Rules: Show how you worked it out so I can check it in Excel. If a number looks strange, say so.</t>
  </si>
  <si>
    <t>IMPROVEMENT ROUND 4 (low scores). Better version of the earlier theme-link prompt: it now counts Negative comments with a low linked score (1 or 2) and asks it to flag strange numbers. Pay and benefits has the highest low-score share (44.74%, 17 of 38). It flagged that Workload has only 20% low scores but eNPS -87.50, and explained they come from different columns (q5 vs eNPS).</t>
  </si>
  <si>
    <t>Asked it to remove repeated sheets from the workbook.</t>
  </si>
  <si>
    <t>Remove things which are done twice</t>
  </si>
  <si>
    <t>Removed the duplicate and older sheets and kept the latest versions. The final workbook has 9 sheets. I still need to open it and check that no needed sheet was deleted.</t>
  </si>
  <si>
    <t>Next: open the final workbook, check the sheets, and copy the final tables into my submission workbook.</t>
  </si>
  <si>
    <t>Role: You are a web developer.
Task: Make one HTML file for an employee survey dashboard. First it must ask me to upload my Excel file. Then it must show charts and a guide for the manager.
Context: My file has 300 rows. The columns are department, tenure_band, q1 to q5 (scores from 1 to 5), enps_0to10, open_comment, themes and tone. Tone is Positive or Negative. A score of 1 or 2 is low. Manager support goes with q2, Pay and benefits with q3, Career growth with q4, Flexibility and Workload with q5, Tools and systems with q1.
Format:
- Number cards: total responses, eNPS, % Negative comments, average score
- Charts: themes by tone, average score for q1 to q5, eNPS by department, department by theme heatmap
- Filters for department and tenure_band
- A "Manager decision guide" with the top 3 problems, the numbers, and one simple action for each
Rules: Use one file only. Use Chart.js and SheetJS from a CDN. Use easy English. Use only my file's data, do not make up numbers.</t>
  </si>
  <si>
    <t>theme</t>
  </si>
  <si>
    <t>meaning</t>
  </si>
  <si>
    <t>code it when</t>
  </si>
  <si>
    <t>do not code it when</t>
  </si>
  <si>
    <t>3 keywords</t>
  </si>
  <si>
    <t>Help, feedback, communication, support from manager.</t>
  </si>
  <si>
    <t>Code for manager feedback, one-to-ones, guidance, manager availability.</t>
  </si>
  <si>
    <t>Do not code if only pay/workload/career growth without manager support.</t>
  </si>
  <si>
    <t>manager, feedback, support</t>
  </si>
  <si>
    <t>When/where employee works.</t>
  </si>
  <si>
    <t>Code flexible hours, hybrid, remote, office attendance.</t>
  </si>
  <si>
    <t>Do not code workload/long hours without flexibility.</t>
  </si>
  <si>
    <t>flexible, hybrid, remote</t>
  </si>
  <si>
    <t>Amount/pressure of work.</t>
  </si>
  <si>
    <t>Code too much work, staff shortages, deadlines, long hours, too many projects.</t>
  </si>
  <si>
    <t>Do not code other issues with no clear workload point.</t>
  </si>
  <si>
    <t>workload, deadlines, overtime</t>
  </si>
  <si>
    <t>Technology/systems used to work.</t>
  </si>
  <si>
    <t>Code software, systems, laptops, CRM, reports, crashes, slow systems.</t>
  </si>
  <si>
    <t>Do not code workload/staffing without tool/system.</t>
  </si>
  <si>
    <t>systems, software, CRM</t>
  </si>
  <si>
    <t>Money/salary/increments/benefits.</t>
  </si>
  <si>
    <t>Code salary, increments, pay, insurance, benefits.</t>
  </si>
  <si>
    <t>Do not code only promotion/career opportunities.</t>
  </si>
  <si>
    <t>salary, pay, benefits</t>
  </si>
  <si>
    <t>Development/progression.</t>
  </si>
  <si>
    <t>Code promotion, career paths, promotion criteria, learning, internal opportunities.</t>
  </si>
  <si>
    <t>Do not code only salary, manager support, workload.</t>
  </si>
  <si>
    <t>promotion, career, growth</t>
  </si>
  <si>
    <t>Coding rules</t>
  </si>
  <si>
    <t>1. Use one theme when the comment clearly discusses one theme.</t>
  </si>
  <si>
    <t>2. Use two themes only when the comment clearly contains two distinct theme ideas.</t>
  </si>
  <si>
    <t>3. Separate two themes using ';'.</t>
  </si>
  <si>
    <t>4. Do not add a second theme just because it is loosely related.</t>
  </si>
  <si>
    <t>5. Code each sentence separately if needed.</t>
  </si>
  <si>
    <t>6. Tone is for the whole comment: Positive or Negative.</t>
  </si>
  <si>
    <t>7. Do not decide tone from one word only; consider the whole comment.</t>
  </si>
  <si>
    <t>8. For a two-theme comment, use one overall tone.</t>
  </si>
  <si>
    <t>themes</t>
  </si>
  <si>
    <t>tone</t>
  </si>
  <si>
    <t>helper: Manager support</t>
  </si>
  <si>
    <t>helper: Flexibility</t>
  </si>
  <si>
    <t>helper: Workload</t>
  </si>
  <si>
    <t>helper: Tools and systems</t>
  </si>
  <si>
    <t>helper: Pay and benefits</t>
  </si>
  <si>
    <t>helper: Career growth</t>
  </si>
  <si>
    <t>Totals are more than 300 because some comments have two themes.</t>
  </si>
  <si>
    <t>Theme counts by department</t>
  </si>
  <si>
    <t>Department</t>
  </si>
  <si>
    <t>Question</t>
  </si>
  <si>
    <t>Average score</t>
  </si>
  <si>
    <t>% low (1-2)</t>
  </si>
  <si>
    <t>% high (4-5)</t>
  </si>
  <si>
    <t>q1</t>
  </si>
  <si>
    <t>q2</t>
  </si>
  <si>
    <t>q3</t>
  </si>
  <si>
    <t>q4</t>
  </si>
  <si>
    <t>q5</t>
  </si>
  <si>
    <t>Average score by department</t>
  </si>
  <si>
    <t>All departments</t>
  </si>
  <si>
    <t>Linked question</t>
  </si>
  <si>
    <t>Negative comments</t>
  </si>
  <si>
    <t>% Negative with low linked score</t>
  </si>
  <si>
    <t>Avg linked score - Negative</t>
  </si>
  <si>
    <t>Avg linked score - Everyone else</t>
  </si>
  <si>
    <t>eNPS - Negative</t>
  </si>
  <si>
    <t>eNPS - Everyone else</t>
  </si>
  <si>
    <t>Workload (Negative comments) - check</t>
  </si>
  <si>
    <t>Measure</t>
  </si>
  <si>
    <t>Value</t>
  </si>
  <si>
    <t>Negative Workload comments</t>
  </si>
  <si>
    <t>Low q5 count (1-2)</t>
  </si>
  <si>
    <t>% low q5</t>
  </si>
  <si>
    <t>Average q5</t>
  </si>
  <si>
    <t>Workload Negative eNPS</t>
  </si>
  <si>
    <t>comment</t>
  </si>
  <si>
    <t>my_themes</t>
  </si>
  <si>
    <t>gold_themes</t>
  </si>
  <si>
    <t>my_tone</t>
  </si>
  <si>
    <t>gold_tone</t>
  </si>
  <si>
    <t>match</t>
  </si>
  <si>
    <t>Rows checked</t>
  </si>
  <si>
    <t>Number correct</t>
  </si>
  <si>
    <t>Number wrong</t>
  </si>
  <si>
    <t>Accuracy %</t>
  </si>
  <si>
    <t>Rows checked: R0001 to R0050 (the first 50 coded responses). A row is "Yes" only when both themes and tone match the gold labels.</t>
  </si>
  <si>
    <t>Gold labels were used only for this check and were never given to the AI tool.</t>
  </si>
  <si>
    <t>Limit: this data repeats a small set of short sentences, so a very high score is expected. It does not prove the method will work as well on real, messy comments.</t>
  </si>
  <si>
    <t>Made one HTML file, employee_survey_dashboard.html.</t>
  </si>
  <si>
    <t xml:space="preserve">Kept </t>
  </si>
  <si>
    <t>screenshot_21.png</t>
  </si>
  <si>
    <t>screenshot_20.png</t>
  </si>
  <si>
    <t>screenshot_19.png</t>
  </si>
  <si>
    <t>screenshot_18.png</t>
  </si>
  <si>
    <t>screenshot_17.png</t>
  </si>
  <si>
    <t>https://drive.google.com/drive/folders/1FOJGQqnoX1TA6cijtuTd0_0EwIaO9OU9?usp=sharing</t>
  </si>
  <si>
    <t>screenshot_02.png</t>
  </si>
  <si>
    <t>screenshot_03.png</t>
  </si>
  <si>
    <t>screenshot_04.png</t>
  </si>
  <si>
    <t>screenshot_05.png</t>
  </si>
  <si>
    <t>screenshot_06.png</t>
  </si>
  <si>
    <t>screenshot_07.png</t>
  </si>
  <si>
    <t>screenshot_08.png</t>
  </si>
  <si>
    <t>screenshot_09.png</t>
  </si>
  <si>
    <t>screenshot_10.png</t>
  </si>
  <si>
    <t>screenshot_11.png</t>
  </si>
  <si>
    <t>screenshot_12.png</t>
  </si>
  <si>
    <t>screenshot_13.png</t>
  </si>
  <si>
    <t>screenshot_14.png</t>
  </si>
  <si>
    <t>screenshot_15.png</t>
  </si>
  <si>
    <t>screenshot_16.png</t>
  </si>
  <si>
    <t>GPT-5.6 Luna / Instant</t>
  </si>
  <si>
    <t>Coded rows 001-100 in the same format. No blank themes in the rows I could see. Tone is only Positive or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</si>
</sst>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
  </numFmts>
  <fonts count="19" x14ac:knownFonts="1">
    <font>
      <sz val="10"/>
      <name val="Arial"/>
      <charset val="1"/>
    </font>
    <font>
      <b/>
      <sz val="14"/>
      <color rgb="FF1F4E5A"/>
      <name val="Arial"/>
      <charset val="1"/>
    </font>
    <font>
      <i/>
      <sz val="10"/>
      <color rgb="FF555555"/>
      <name val="Arial"/>
      <charset val="1"/>
    </font>
    <font>
      <b/>
      <sz val="10"/>
      <name val="Arial"/>
      <charset val="1"/>
    </font>
    <font>
      <b/>
      <sz val="12"/>
      <color rgb="FF1F4E5A"/>
      <name val="Arial"/>
      <charset val="1"/>
    </font>
    <font>
      <b/>
      <sz val="10"/>
      <color rgb="FFFFFFFF"/>
      <name val="Arial"/>
      <charset val="1"/>
    </font>
    <font>
      <sz val="11"/>
      <color theme="1"/>
      <name val="Calibri"/>
      <family val="2"/>
      <charset val="1"/>
    </font>
    <font>
      <i/>
      <sz val="9"/>
      <color rgb="FF555555"/>
      <name val="Arial"/>
      <charset val="1"/>
    </font>
    <font>
      <sz val="10"/>
      <color rgb="FF666666"/>
      <name val="Arial"/>
      <charset val="1"/>
    </font>
    <font>
      <sz val="9"/>
      <color rgb="FF666666"/>
      <name val="Arial"/>
      <charset val="1"/>
    </font>
    <font>
      <sz val="9"/>
      <name val="Arial"/>
      <charset val="1"/>
    </font>
    <font>
      <b/>
      <sz val="11"/>
      <color rgb="FF1F4E5A"/>
      <name val="Arial"/>
      <charset val="1"/>
    </font>
    <font>
      <sz val="9"/>
      <color rgb="FF7F7F7F"/>
      <name val="Arial"/>
      <charset val="1"/>
    </font>
    <font>
      <i/>
      <sz val="9"/>
      <color rgb="FF666666"/>
      <name val="Arial"/>
      <charset val="1"/>
    </font>
    <font>
      <sz val="9"/>
      <color rgb="FF555555"/>
      <name val="Arial"/>
      <charset val="1"/>
    </font>
    <font>
      <u/>
      <sz val="10"/>
      <color theme="10"/>
      <name val="Arial"/>
      <charset val="1"/>
    </font>
    <font>
      <sz val="11"/>
      <color rgb="FF000000"/>
      <name val="Calibri"/>
      <family val="2"/>
    </font>
    <font>
      <sz val="10"/>
      <name val="Arial"/>
      <family val="2"/>
    </font>
    <font>
      <sz val="9"/>
      <name val="Arial"/>
      <family val="2"/>
    </font>
  </fonts>
  <fills count="8">
    <fill>
      <patternFill patternType="none"/>
    </fill>
    <fill>
      <patternFill patternType="gray125"/>
    </fill>
    <fill>
      <patternFill patternType="solid">
        <fgColor rgb="FFE8F1F2"/>
        <bgColor rgb="FFFFFFFF"/>
      </patternFill>
    </fill>
    <fill>
      <patternFill patternType="solid">
        <fgColor rgb="FF1F4E5A"/>
        <bgColor rgb="FF003366"/>
      </patternFill>
    </fill>
    <fill>
      <patternFill patternType="solid">
        <fgColor rgb="FFFFF2CC"/>
        <bgColor rgb="FFE8F1F2"/>
      </patternFill>
    </fill>
    <fill>
      <patternFill patternType="solid">
        <fgColor rgb="FF7F8C8D"/>
        <bgColor rgb="FF7F7F7F"/>
      </patternFill>
    </fill>
    <fill>
      <patternFill patternType="solid">
        <fgColor rgb="FFFFF2CC"/>
        <bgColor rgb="FF000000"/>
      </patternFill>
    </fill>
    <fill>
      <patternFill patternType="solid">
        <fgColor rgb="FFFFF2CC"/>
        <bgColor indexed="64"/>
      </patternFill>
    </fill>
  </fills>
  <borders count="5">
    <border>
      <left/>
      <right/>
      <top/>
      <bottom/>
      <diagonal/>
    </border>
    <border>
      <left style="thin">
        <color rgb="FFC9D3D6"/>
      </left>
      <right style="thin">
        <color rgb="FFC9D3D6"/>
      </right>
      <top style="thin">
        <color rgb="FFC9D3D6"/>
      </top>
      <bottom style="thin">
        <color rgb="FFC9D3D6"/>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medium">
        <color rgb="FFC9D3D6"/>
      </left>
      <right style="medium">
        <color rgb="FFC9D3D6"/>
      </right>
      <top style="medium">
        <color rgb="FFC9D3D6"/>
      </top>
      <bottom style="medium">
        <color rgb="FFC9D3D6"/>
      </bottom>
      <diagonal/>
    </border>
  </borders>
  <cellStyleXfs count="2">
    <xf numFmtId="0" fontId="0" fillId="0" borderId="0"/>
    <xf numFmtId="0" fontId="15" fillId="0" borderId="0" applyNumberFormat="0" applyFill="0" applyBorder="0" applyAlignment="0" applyProtection="0"/>
  </cellStyleXfs>
  <cellXfs count="49">
    <xf numFmtId="0" fontId="0" fillId="0" borderId="0" xfId="0"/>
    <xf numFmtId="0" fontId="0" fillId="0" borderId="2" xfId="0" applyBorder="1" applyAlignment="1">
      <alignment horizontal="left" vertical="center" wrapText="1"/>
    </xf>
    <xf numFmtId="0" fontId="14" fillId="0" borderId="0" xfId="0" applyFont="1" applyAlignment="1">
      <alignment vertical="top" wrapText="1"/>
    </xf>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5" fillId="3" borderId="1" xfId="0" applyFont="1" applyFill="1" applyBorder="1" applyAlignment="1">
      <alignment vertical="center" wrapText="1"/>
    </xf>
    <xf numFmtId="0" fontId="6" fillId="0" borderId="1" xfId="0" applyFont="1" applyBorder="1" applyAlignment="1">
      <alignment vertical="top" wrapText="1"/>
    </xf>
    <xf numFmtId="0" fontId="3" fillId="0" borderId="0" xfId="0" applyFont="1"/>
    <xf numFmtId="0" fontId="6" fillId="0" borderId="0" xfId="0" applyFont="1" applyAlignment="1">
      <alignment vertical="top" wrapText="1"/>
    </xf>
    <xf numFmtId="0" fontId="7" fillId="0" borderId="0" xfId="0" applyFont="1"/>
    <xf numFmtId="0" fontId="8" fillId="0" borderId="2" xfId="0" applyFont="1" applyBorder="1" applyAlignment="1">
      <alignment horizontal="center" vertical="top" wrapText="1"/>
    </xf>
    <xf numFmtId="164" fontId="8" fillId="0" borderId="2" xfId="0" applyNumberFormat="1" applyFont="1" applyBorder="1" applyAlignment="1">
      <alignment horizontal="center"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0" fillId="0" borderId="2" xfId="0" applyBorder="1" applyAlignment="1">
      <alignment horizontal="center" vertical="top" wrapText="1"/>
    </xf>
    <xf numFmtId="164" fontId="0" fillId="4" borderId="2" xfId="0" applyNumberFormat="1" applyFill="1" applyBorder="1" applyAlignment="1">
      <alignment horizontal="center" vertical="top" wrapText="1"/>
    </xf>
    <xf numFmtId="164" fontId="6" fillId="0" borderId="0" xfId="0" applyNumberFormat="1" applyFont="1" applyAlignment="1">
      <alignment vertical="top" wrapText="1"/>
    </xf>
    <xf numFmtId="0" fontId="5" fillId="3" borderId="2"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0" fillId="0" borderId="2" xfId="0" applyBorder="1" applyAlignment="1">
      <alignment horizontal="left" vertical="center" wrapText="1"/>
    </xf>
    <xf numFmtId="0" fontId="11" fillId="0" borderId="0" xfId="0" applyFont="1"/>
    <xf numFmtId="0" fontId="5" fillId="5" borderId="2"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left" vertical="center"/>
    </xf>
    <xf numFmtId="0" fontId="12" fillId="0" borderId="2" xfId="0" applyFont="1" applyBorder="1" applyAlignment="1">
      <alignment horizontal="center" vertical="center"/>
    </xf>
    <xf numFmtId="0" fontId="3" fillId="0" borderId="2" xfId="0" applyFont="1" applyBorder="1" applyAlignment="1">
      <alignment horizontal="left" vertical="center" wrapText="1"/>
    </xf>
    <xf numFmtId="0" fontId="0" fillId="0" borderId="2" xfId="0" applyBorder="1" applyAlignment="1">
      <alignment horizontal="center" vertical="center" wrapText="1"/>
    </xf>
    <xf numFmtId="0" fontId="3" fillId="2" borderId="2" xfId="0" applyFont="1" applyFill="1" applyBorder="1" applyAlignment="1">
      <alignment horizontal="center" vertical="center" wrapText="1"/>
    </xf>
    <xf numFmtId="0" fontId="13" fillId="0" borderId="0" xfId="0" applyFont="1"/>
    <xf numFmtId="2" fontId="0" fillId="0" borderId="2" xfId="0" applyNumberFormat="1" applyBorder="1" applyAlignment="1">
      <alignment horizontal="center" vertical="center" wrapText="1"/>
    </xf>
    <xf numFmtId="165" fontId="0" fillId="0" borderId="2" xfId="0" applyNumberFormat="1" applyBorder="1" applyAlignment="1">
      <alignment horizontal="center" vertical="center" wrapText="1"/>
    </xf>
    <xf numFmtId="2" fontId="3" fillId="2" borderId="2" xfId="0" applyNumberFormat="1" applyFont="1" applyFill="1" applyBorder="1" applyAlignment="1">
      <alignment horizontal="center" vertical="center" wrapText="1"/>
    </xf>
    <xf numFmtId="166" fontId="0" fillId="0" borderId="2" xfId="0" applyNumberFormat="1" applyBorder="1" applyAlignment="1">
      <alignment horizontal="center" vertical="center" wrapText="1"/>
    </xf>
    <xf numFmtId="0" fontId="5" fillId="0" borderId="0" xfId="0" applyFont="1"/>
    <xf numFmtId="0" fontId="0" fillId="2" borderId="2" xfId="0" applyFill="1" applyBorder="1" applyAlignment="1">
      <alignment horizontal="left" vertical="center" wrapText="1"/>
    </xf>
    <xf numFmtId="0" fontId="0" fillId="2" borderId="2" xfId="0" applyFill="1" applyBorder="1" applyAlignment="1">
      <alignment horizontal="center" vertical="center"/>
    </xf>
    <xf numFmtId="1" fontId="0" fillId="0" borderId="2" xfId="0" applyNumberFormat="1" applyBorder="1" applyAlignment="1">
      <alignment horizontal="center" vertical="center" wrapText="1"/>
    </xf>
    <xf numFmtId="0" fontId="15" fillId="0" borderId="3" xfId="1" applyFill="1" applyBorder="1" applyAlignment="1">
      <alignment horizontal="left" vertical="top" wrapText="1"/>
    </xf>
    <xf numFmtId="164" fontId="16" fillId="6" borderId="4" xfId="0" applyNumberFormat="1" applyFont="1" applyFill="1" applyBorder="1" applyAlignment="1">
      <alignment vertical="top" wrapText="1"/>
    </xf>
    <xf numFmtId="0" fontId="16" fillId="6" borderId="4" xfId="0" applyFont="1" applyFill="1" applyBorder="1" applyAlignment="1">
      <alignment vertical="top" wrapText="1"/>
    </xf>
    <xf numFmtId="0" fontId="10" fillId="7" borderId="2" xfId="0" applyFont="1" applyFill="1" applyBorder="1" applyAlignment="1">
      <alignment horizontal="left" vertical="top" wrapText="1"/>
    </xf>
    <xf numFmtId="0" fontId="0" fillId="7" borderId="2" xfId="0" applyFill="1" applyBorder="1" applyAlignment="1">
      <alignment horizontal="left" vertical="top" wrapText="1"/>
    </xf>
    <xf numFmtId="0" fontId="18" fillId="7" borderId="2" xfId="0" applyFont="1" applyFill="1" applyBorder="1" applyAlignment="1">
      <alignment horizontal="left" vertical="top" wrapText="1"/>
    </xf>
    <xf numFmtId="0" fontId="17" fillId="0" borderId="2" xfId="0" applyFont="1" applyBorder="1" applyAlignment="1">
      <alignment horizontal="center" vertical="center" wrapText="1"/>
    </xf>
    <xf numFmtId="165" fontId="17" fillId="0" borderId="2" xfId="0" applyNumberFormat="1" applyFont="1" applyBorder="1" applyAlignment="1">
      <alignment horizontal="center" vertical="center" wrapText="1"/>
    </xf>
    <xf numFmtId="2" fontId="17" fillId="0" borderId="2" xfId="0" applyNumberFormat="1" applyFont="1" applyBorder="1" applyAlignment="1">
      <alignment horizontal="center" vertical="center" wrapText="1"/>
    </xf>
  </cellXfs>
  <cellStyles count="2">
    <cellStyle name="Hyperlink" xfId="1" builtinId="8"/>
    <cellStyle name="Normal" xfId="0" builtinId="0"/>
  </cellStyles>
  <dxfs count="2">
    <dxf>
      <font>
        <sz val="10"/>
        <color rgb="FF1E7B4F"/>
        <name val="Arial"/>
        <charset val="1"/>
      </font>
    </dxf>
    <dxf>
      <fill>
        <patternFill>
          <bgColor rgb="FFF4B6B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7B4F"/>
      <rgbColor rgb="FFBFBFBF"/>
      <rgbColor rgb="FF7F7F7F"/>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6B6"/>
      <rgbColor rgb="FF3366FF"/>
      <rgbColor rgb="FF33CCCC"/>
      <rgbColor rgb="FF99CC00"/>
      <rgbColor rgb="FFFFCC00"/>
      <rgbColor rgb="FFFF9900"/>
      <rgbColor rgb="FFFF6600"/>
      <rgbColor rgb="FF666666"/>
      <rgbColor rgb="FF7F8C8D"/>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FOJGQqnoX1TA6cijtuTd0_0EwIaO9OU9?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opLeftCell="A11" zoomScaleNormal="100" workbookViewId="0">
      <selection activeCell="B5" sqref="B5"/>
    </sheetView>
  </sheetViews>
  <sheetFormatPr defaultColWidth="8.6640625" defaultRowHeight="13.2" x14ac:dyDescent="0.25"/>
  <cols>
    <col min="1" max="1" width="26" customWidth="1"/>
    <col min="2" max="2" width="95" customWidth="1"/>
    <col min="3" max="3" width="10" customWidth="1"/>
    <col min="4" max="4" width="22" customWidth="1"/>
    <col min="5" max="6" width="20" customWidth="1"/>
    <col min="7" max="7" width="16" customWidth="1"/>
  </cols>
  <sheetData>
    <row r="1" spans="1:2" ht="17.25" customHeight="1" x14ac:dyDescent="0.3">
      <c r="A1" s="3" t="s">
        <v>0</v>
      </c>
    </row>
    <row r="2" spans="1:2" ht="15" customHeight="1" x14ac:dyDescent="0.25">
      <c r="A2" s="4" t="s">
        <v>1</v>
      </c>
    </row>
    <row r="4" spans="1:2" ht="18" customHeight="1" x14ac:dyDescent="0.25">
      <c r="A4" s="5" t="s">
        <v>2</v>
      </c>
      <c r="B4" s="6" t="s">
        <v>3</v>
      </c>
    </row>
    <row r="5" spans="1:2" ht="18" customHeight="1" x14ac:dyDescent="0.25">
      <c r="A5" s="5" t="s">
        <v>4</v>
      </c>
      <c r="B5" s="6" t="s">
        <v>5</v>
      </c>
    </row>
    <row r="6" spans="1:2" ht="18" customHeight="1" x14ac:dyDescent="0.25">
      <c r="A6" s="5" t="s">
        <v>6</v>
      </c>
      <c r="B6" s="6" t="s">
        <v>7</v>
      </c>
    </row>
    <row r="7" spans="1:2" ht="27.75" customHeight="1" x14ac:dyDescent="0.25">
      <c r="A7" s="5" t="s">
        <v>8</v>
      </c>
      <c r="B7" s="6" t="s">
        <v>9</v>
      </c>
    </row>
    <row r="8" spans="1:2" ht="55.5" customHeight="1" x14ac:dyDescent="0.25">
      <c r="A8" s="5" t="s">
        <v>10</v>
      </c>
      <c r="B8" s="6" t="s">
        <v>11</v>
      </c>
    </row>
    <row r="9" spans="1:2" ht="18" customHeight="1" x14ac:dyDescent="0.25">
      <c r="A9" s="5" t="s">
        <v>12</v>
      </c>
      <c r="B9" s="6" t="s">
        <v>13</v>
      </c>
    </row>
    <row r="10" spans="1:2" ht="42" customHeight="1" x14ac:dyDescent="0.25">
      <c r="A10" s="5" t="s">
        <v>14</v>
      </c>
      <c r="B10" s="6" t="s">
        <v>15</v>
      </c>
    </row>
    <row r="11" spans="1:2" ht="42" customHeight="1" x14ac:dyDescent="0.25">
      <c r="A11" s="5" t="s">
        <v>16</v>
      </c>
      <c r="B11" s="6" t="s">
        <v>17</v>
      </c>
    </row>
    <row r="12" spans="1:2" ht="18" customHeight="1" x14ac:dyDescent="0.25">
      <c r="A12" s="5" t="s">
        <v>18</v>
      </c>
      <c r="B12" s="6" t="s">
        <v>19</v>
      </c>
    </row>
    <row r="13" spans="1:2" ht="27.75" customHeight="1" x14ac:dyDescent="0.25">
      <c r="A13" s="5" t="s">
        <v>20</v>
      </c>
      <c r="B13" s="6" t="s">
        <v>21</v>
      </c>
    </row>
    <row r="14" spans="1:2" ht="42" customHeight="1" x14ac:dyDescent="0.25">
      <c r="A14" s="5" t="s">
        <v>22</v>
      </c>
      <c r="B14" s="6" t="s">
        <v>23</v>
      </c>
    </row>
    <row r="16" spans="1:2" ht="15" customHeight="1" x14ac:dyDescent="0.3">
      <c r="A16" s="7" t="s">
        <v>24</v>
      </c>
    </row>
    <row r="17" spans="1:7" ht="15" customHeight="1" x14ac:dyDescent="0.25">
      <c r="A17" s="8" t="s">
        <v>25</v>
      </c>
      <c r="B17" s="8" t="s">
        <v>26</v>
      </c>
      <c r="C17" s="8" t="s">
        <v>27</v>
      </c>
      <c r="D17" s="8" t="s">
        <v>28</v>
      </c>
      <c r="E17" s="8" t="s">
        <v>29</v>
      </c>
      <c r="F17" s="8" t="s">
        <v>30</v>
      </c>
      <c r="G17" s="8" t="s">
        <v>31</v>
      </c>
    </row>
    <row r="18" spans="1:7" ht="42" customHeight="1" x14ac:dyDescent="0.25">
      <c r="A18" s="9" t="s">
        <v>32</v>
      </c>
      <c r="B18" s="9" t="s">
        <v>33</v>
      </c>
      <c r="C18" s="9">
        <v>8</v>
      </c>
      <c r="D18" s="9" t="s">
        <v>34</v>
      </c>
      <c r="E18" s="9" t="s">
        <v>35</v>
      </c>
      <c r="F18" s="9" t="s">
        <v>36</v>
      </c>
      <c r="G18" s="9" t="s">
        <v>37</v>
      </c>
    </row>
    <row r="19" spans="1:7" ht="42" customHeight="1" x14ac:dyDescent="0.25">
      <c r="A19" s="9" t="s">
        <v>38</v>
      </c>
      <c r="B19" s="9" t="s">
        <v>39</v>
      </c>
      <c r="C19" s="9">
        <v>7</v>
      </c>
      <c r="D19" s="9" t="s">
        <v>40</v>
      </c>
      <c r="E19" s="9" t="s">
        <v>41</v>
      </c>
      <c r="F19" s="9" t="s">
        <v>42</v>
      </c>
      <c r="G19" s="9" t="s">
        <v>43</v>
      </c>
    </row>
    <row r="20" spans="1:7" ht="42" customHeight="1" x14ac:dyDescent="0.25">
      <c r="A20" s="9" t="s">
        <v>44</v>
      </c>
      <c r="B20" s="9" t="s">
        <v>45</v>
      </c>
      <c r="C20" s="9">
        <v>5</v>
      </c>
      <c r="D20" s="9" t="s">
        <v>46</v>
      </c>
      <c r="E20" s="9" t="s">
        <v>47</v>
      </c>
      <c r="F20" s="9" t="s">
        <v>48</v>
      </c>
      <c r="G20" s="9" t="s">
        <v>49</v>
      </c>
    </row>
    <row r="21" spans="1:7" ht="42" customHeight="1" x14ac:dyDescent="0.25">
      <c r="A21" s="9" t="s">
        <v>50</v>
      </c>
      <c r="B21" s="9" t="s">
        <v>51</v>
      </c>
      <c r="C21" s="9">
        <v>6</v>
      </c>
      <c r="D21" s="9" t="s">
        <v>52</v>
      </c>
      <c r="E21" s="9" t="s">
        <v>53</v>
      </c>
      <c r="F21" s="9" t="s">
        <v>54</v>
      </c>
      <c r="G21" s="9" t="s">
        <v>55</v>
      </c>
    </row>
    <row r="22" spans="1:7" ht="42" customHeight="1" x14ac:dyDescent="0.25">
      <c r="A22" s="9" t="s">
        <v>56</v>
      </c>
      <c r="B22" s="9" t="s">
        <v>57</v>
      </c>
      <c r="C22" s="9">
        <v>4</v>
      </c>
      <c r="D22" s="9" t="s">
        <v>58</v>
      </c>
      <c r="E22" s="9" t="s">
        <v>59</v>
      </c>
      <c r="F22" s="9" t="s">
        <v>60</v>
      </c>
      <c r="G22" s="9" t="s">
        <v>55</v>
      </c>
    </row>
    <row r="23" spans="1:7" ht="15" customHeight="1" x14ac:dyDescent="0.25">
      <c r="A23" s="10" t="s">
        <v>61</v>
      </c>
      <c r="C23" s="10">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1"/>
  <sheetViews>
    <sheetView zoomScale="90" zoomScaleNormal="90" workbookViewId="0">
      <pane ySplit="1" topLeftCell="A2" activePane="bottomLeft" state="frozen"/>
      <selection pane="bottomLeft"/>
    </sheetView>
  </sheetViews>
  <sheetFormatPr defaultColWidth="8.6640625" defaultRowHeight="13.2" x14ac:dyDescent="0.25"/>
  <cols>
    <col min="1" max="1" width="13" customWidth="1"/>
    <col min="2" max="2" width="12" customWidth="1"/>
    <col min="3" max="3" width="13" customWidth="1"/>
    <col min="4" max="4" width="21" customWidth="1"/>
    <col min="5" max="5" width="25" customWidth="1"/>
    <col min="6" max="6" width="18" customWidth="1"/>
    <col min="7" max="7" width="16" customWidth="1"/>
    <col min="8" max="8" width="26" customWidth="1"/>
    <col min="9" max="9" width="12" customWidth="1"/>
    <col min="10" max="10" width="60" customWidth="1"/>
  </cols>
  <sheetData>
    <row r="1" spans="1:10" ht="23.25" customHeight="1" x14ac:dyDescent="0.25">
      <c r="A1" s="8" t="s">
        <v>62</v>
      </c>
      <c r="B1" s="8" t="s">
        <v>63</v>
      </c>
      <c r="C1" s="8" t="s">
        <v>64</v>
      </c>
      <c r="D1" s="8" t="s">
        <v>65</v>
      </c>
      <c r="E1" s="8" t="s">
        <v>66</v>
      </c>
      <c r="F1" s="8" t="s">
        <v>67</v>
      </c>
      <c r="G1" s="8" t="s">
        <v>68</v>
      </c>
      <c r="H1" s="8" t="s">
        <v>69</v>
      </c>
      <c r="I1" s="8" t="s">
        <v>70</v>
      </c>
      <c r="J1" s="8" t="s">
        <v>71</v>
      </c>
    </row>
    <row r="2" spans="1:10" ht="15" customHeight="1" x14ac:dyDescent="0.25">
      <c r="A2" t="s">
        <v>72</v>
      </c>
      <c r="B2" t="s">
        <v>73</v>
      </c>
      <c r="C2" t="s">
        <v>74</v>
      </c>
      <c r="D2">
        <v>4</v>
      </c>
      <c r="E2">
        <v>4</v>
      </c>
      <c r="F2">
        <v>5</v>
      </c>
      <c r="G2">
        <v>3</v>
      </c>
      <c r="H2">
        <v>5</v>
      </c>
      <c r="I2">
        <v>8</v>
      </c>
      <c r="J2" s="11" t="s">
        <v>75</v>
      </c>
    </row>
    <row r="3" spans="1:10" ht="15" customHeight="1" x14ac:dyDescent="0.25">
      <c r="A3" t="s">
        <v>76</v>
      </c>
      <c r="B3" t="s">
        <v>77</v>
      </c>
      <c r="C3" t="s">
        <v>74</v>
      </c>
      <c r="D3">
        <v>4</v>
      </c>
      <c r="E3">
        <v>4</v>
      </c>
      <c r="F3">
        <v>5</v>
      </c>
      <c r="G3">
        <v>4</v>
      </c>
      <c r="H3">
        <v>4</v>
      </c>
      <c r="I3">
        <v>7</v>
      </c>
      <c r="J3" s="11" t="s">
        <v>78</v>
      </c>
    </row>
    <row r="4" spans="1:10" ht="27.75" customHeight="1" x14ac:dyDescent="0.25">
      <c r="A4" t="s">
        <v>79</v>
      </c>
      <c r="B4" t="s">
        <v>73</v>
      </c>
      <c r="C4" t="s">
        <v>74</v>
      </c>
      <c r="D4">
        <v>4</v>
      </c>
      <c r="E4">
        <v>4</v>
      </c>
      <c r="F4">
        <v>4</v>
      </c>
      <c r="G4">
        <v>3</v>
      </c>
      <c r="H4">
        <v>4</v>
      </c>
      <c r="I4">
        <v>8</v>
      </c>
      <c r="J4" s="11" t="s">
        <v>80</v>
      </c>
    </row>
    <row r="5" spans="1:10" ht="27.75" customHeight="1" x14ac:dyDescent="0.25">
      <c r="A5" t="s">
        <v>81</v>
      </c>
      <c r="B5" t="s">
        <v>82</v>
      </c>
      <c r="C5" t="s">
        <v>74</v>
      </c>
      <c r="D5">
        <v>3</v>
      </c>
      <c r="E5">
        <v>3</v>
      </c>
      <c r="F5">
        <v>2</v>
      </c>
      <c r="G5">
        <v>2</v>
      </c>
      <c r="H5">
        <v>2</v>
      </c>
      <c r="I5">
        <v>4</v>
      </c>
      <c r="J5" s="11" t="s">
        <v>83</v>
      </c>
    </row>
    <row r="6" spans="1:10" ht="15" customHeight="1" x14ac:dyDescent="0.25">
      <c r="A6" t="s">
        <v>84</v>
      </c>
      <c r="B6" t="s">
        <v>73</v>
      </c>
      <c r="C6" t="s">
        <v>85</v>
      </c>
      <c r="D6">
        <v>4</v>
      </c>
      <c r="E6">
        <v>5</v>
      </c>
      <c r="F6">
        <v>5</v>
      </c>
      <c r="G6">
        <v>4</v>
      </c>
      <c r="H6">
        <v>4</v>
      </c>
      <c r="I6">
        <v>8</v>
      </c>
      <c r="J6" s="11" t="s">
        <v>86</v>
      </c>
    </row>
    <row r="7" spans="1:10" ht="15" customHeight="1" x14ac:dyDescent="0.25">
      <c r="A7" t="s">
        <v>87</v>
      </c>
      <c r="B7" t="s">
        <v>82</v>
      </c>
      <c r="C7" t="s">
        <v>88</v>
      </c>
      <c r="D7">
        <v>4</v>
      </c>
      <c r="E7">
        <v>4</v>
      </c>
      <c r="F7">
        <v>2</v>
      </c>
      <c r="G7">
        <v>3</v>
      </c>
      <c r="H7">
        <v>3</v>
      </c>
      <c r="I7">
        <v>7</v>
      </c>
      <c r="J7" s="11" t="s">
        <v>89</v>
      </c>
    </row>
    <row r="8" spans="1:10" ht="15" customHeight="1" x14ac:dyDescent="0.25">
      <c r="A8" t="s">
        <v>90</v>
      </c>
      <c r="B8" t="s">
        <v>91</v>
      </c>
      <c r="C8" t="s">
        <v>88</v>
      </c>
      <c r="D8">
        <v>3</v>
      </c>
      <c r="E8">
        <v>3</v>
      </c>
      <c r="F8">
        <v>2</v>
      </c>
      <c r="G8">
        <v>3</v>
      </c>
      <c r="H8">
        <v>4</v>
      </c>
      <c r="I8">
        <v>7</v>
      </c>
      <c r="J8" s="11" t="s">
        <v>92</v>
      </c>
    </row>
    <row r="9" spans="1:10" ht="27.75" customHeight="1" x14ac:dyDescent="0.25">
      <c r="A9" t="s">
        <v>93</v>
      </c>
      <c r="B9" t="s">
        <v>73</v>
      </c>
      <c r="C9" t="s">
        <v>94</v>
      </c>
      <c r="D9">
        <v>2</v>
      </c>
      <c r="E9">
        <v>2</v>
      </c>
      <c r="F9">
        <v>3</v>
      </c>
      <c r="G9">
        <v>3</v>
      </c>
      <c r="H9">
        <v>4</v>
      </c>
      <c r="I9">
        <v>5</v>
      </c>
      <c r="J9" s="11" t="s">
        <v>95</v>
      </c>
    </row>
    <row r="10" spans="1:10" ht="15" customHeight="1" x14ac:dyDescent="0.25">
      <c r="A10" t="s">
        <v>96</v>
      </c>
      <c r="B10" t="s">
        <v>77</v>
      </c>
      <c r="C10" t="s">
        <v>74</v>
      </c>
      <c r="D10">
        <v>2</v>
      </c>
      <c r="E10">
        <v>4</v>
      </c>
      <c r="F10">
        <v>3</v>
      </c>
      <c r="G10">
        <v>3</v>
      </c>
      <c r="H10">
        <v>4</v>
      </c>
      <c r="I10">
        <v>5</v>
      </c>
      <c r="J10" s="11" t="s">
        <v>97</v>
      </c>
    </row>
    <row r="11" spans="1:10" ht="15" customHeight="1" x14ac:dyDescent="0.25">
      <c r="A11" t="s">
        <v>98</v>
      </c>
      <c r="B11" t="s">
        <v>77</v>
      </c>
      <c r="C11" t="s">
        <v>85</v>
      </c>
      <c r="D11">
        <v>3</v>
      </c>
      <c r="E11">
        <v>3</v>
      </c>
      <c r="F11">
        <v>3</v>
      </c>
      <c r="G11">
        <v>4</v>
      </c>
      <c r="H11">
        <v>2</v>
      </c>
      <c r="I11">
        <v>4</v>
      </c>
      <c r="J11" s="11" t="s">
        <v>99</v>
      </c>
    </row>
    <row r="12" spans="1:10" ht="15" customHeight="1" x14ac:dyDescent="0.25">
      <c r="A12" t="s">
        <v>100</v>
      </c>
      <c r="B12" t="s">
        <v>91</v>
      </c>
      <c r="C12" t="s">
        <v>88</v>
      </c>
      <c r="D12">
        <v>2</v>
      </c>
      <c r="E12">
        <v>4</v>
      </c>
      <c r="F12">
        <v>3</v>
      </c>
      <c r="G12">
        <v>2</v>
      </c>
      <c r="H12">
        <v>2</v>
      </c>
      <c r="I12">
        <v>6</v>
      </c>
      <c r="J12" s="11" t="s">
        <v>101</v>
      </c>
    </row>
    <row r="13" spans="1:10" ht="15" customHeight="1" x14ac:dyDescent="0.25">
      <c r="A13" t="s">
        <v>102</v>
      </c>
      <c r="B13" t="s">
        <v>91</v>
      </c>
      <c r="C13" t="s">
        <v>88</v>
      </c>
      <c r="D13">
        <v>2</v>
      </c>
      <c r="E13">
        <v>3</v>
      </c>
      <c r="F13">
        <v>2</v>
      </c>
      <c r="G13">
        <v>2</v>
      </c>
      <c r="H13">
        <v>4</v>
      </c>
      <c r="I13">
        <v>5</v>
      </c>
      <c r="J13" s="11" t="s">
        <v>92</v>
      </c>
    </row>
    <row r="14" spans="1:10" ht="27.75" customHeight="1" x14ac:dyDescent="0.25">
      <c r="A14" t="s">
        <v>103</v>
      </c>
      <c r="B14" t="s">
        <v>82</v>
      </c>
      <c r="C14" t="s">
        <v>94</v>
      </c>
      <c r="D14">
        <v>3</v>
      </c>
      <c r="E14">
        <v>2</v>
      </c>
      <c r="F14">
        <v>4</v>
      </c>
      <c r="G14">
        <v>2</v>
      </c>
      <c r="H14">
        <v>5</v>
      </c>
      <c r="I14">
        <v>4</v>
      </c>
      <c r="J14" s="11" t="s">
        <v>104</v>
      </c>
    </row>
    <row r="15" spans="1:10" ht="27.75" customHeight="1" x14ac:dyDescent="0.25">
      <c r="A15" t="s">
        <v>105</v>
      </c>
      <c r="B15" t="s">
        <v>77</v>
      </c>
      <c r="C15" t="s">
        <v>88</v>
      </c>
      <c r="D15">
        <v>5</v>
      </c>
      <c r="E15">
        <v>3</v>
      </c>
      <c r="F15">
        <v>4</v>
      </c>
      <c r="G15">
        <v>4</v>
      </c>
      <c r="H15">
        <v>5</v>
      </c>
      <c r="I15">
        <v>7</v>
      </c>
      <c r="J15" s="11" t="s">
        <v>106</v>
      </c>
    </row>
    <row r="16" spans="1:10" ht="27.75" customHeight="1" x14ac:dyDescent="0.25">
      <c r="A16" t="s">
        <v>107</v>
      </c>
      <c r="B16" t="s">
        <v>108</v>
      </c>
      <c r="C16" t="s">
        <v>74</v>
      </c>
      <c r="D16">
        <v>3</v>
      </c>
      <c r="E16">
        <v>4</v>
      </c>
      <c r="F16">
        <v>5</v>
      </c>
      <c r="G16">
        <v>3</v>
      </c>
      <c r="H16">
        <v>2</v>
      </c>
      <c r="I16">
        <v>3</v>
      </c>
      <c r="J16" s="11" t="s">
        <v>109</v>
      </c>
    </row>
    <row r="17" spans="1:10" ht="15" customHeight="1" x14ac:dyDescent="0.25">
      <c r="A17" t="s">
        <v>110</v>
      </c>
      <c r="B17" t="s">
        <v>91</v>
      </c>
      <c r="C17" t="s">
        <v>74</v>
      </c>
      <c r="D17">
        <v>3</v>
      </c>
      <c r="E17">
        <v>2</v>
      </c>
      <c r="F17">
        <v>3</v>
      </c>
      <c r="G17">
        <v>4</v>
      </c>
      <c r="H17">
        <v>2</v>
      </c>
      <c r="I17">
        <v>7</v>
      </c>
      <c r="J17" s="11" t="s">
        <v>111</v>
      </c>
    </row>
    <row r="18" spans="1:10" ht="15" customHeight="1" x14ac:dyDescent="0.25">
      <c r="A18" t="s">
        <v>112</v>
      </c>
      <c r="B18" t="s">
        <v>82</v>
      </c>
      <c r="C18" t="s">
        <v>94</v>
      </c>
      <c r="D18">
        <v>4</v>
      </c>
      <c r="E18">
        <v>2</v>
      </c>
      <c r="F18">
        <v>3</v>
      </c>
      <c r="G18">
        <v>2</v>
      </c>
      <c r="H18">
        <v>3</v>
      </c>
      <c r="I18">
        <v>7</v>
      </c>
      <c r="J18" s="11" t="s">
        <v>101</v>
      </c>
    </row>
    <row r="19" spans="1:10" ht="27.75" customHeight="1" x14ac:dyDescent="0.25">
      <c r="A19" t="s">
        <v>113</v>
      </c>
      <c r="B19" t="s">
        <v>82</v>
      </c>
      <c r="C19" t="s">
        <v>94</v>
      </c>
      <c r="D19">
        <v>2</v>
      </c>
      <c r="E19">
        <v>3</v>
      </c>
      <c r="F19">
        <v>3</v>
      </c>
      <c r="G19">
        <v>2</v>
      </c>
      <c r="H19">
        <v>4</v>
      </c>
      <c r="I19">
        <v>5</v>
      </c>
      <c r="J19" s="11" t="s">
        <v>114</v>
      </c>
    </row>
    <row r="20" spans="1:10" ht="27.75" customHeight="1" x14ac:dyDescent="0.25">
      <c r="A20" t="s">
        <v>115</v>
      </c>
      <c r="B20" t="s">
        <v>77</v>
      </c>
      <c r="C20" t="s">
        <v>88</v>
      </c>
      <c r="D20">
        <v>4</v>
      </c>
      <c r="E20">
        <v>3</v>
      </c>
      <c r="F20">
        <v>3</v>
      </c>
      <c r="G20">
        <v>1</v>
      </c>
      <c r="H20">
        <v>2</v>
      </c>
      <c r="I20">
        <v>4</v>
      </c>
      <c r="J20" s="11" t="s">
        <v>116</v>
      </c>
    </row>
    <row r="21" spans="1:10" ht="15" customHeight="1" x14ac:dyDescent="0.25">
      <c r="A21" t="s">
        <v>117</v>
      </c>
      <c r="B21" t="s">
        <v>118</v>
      </c>
      <c r="C21" t="s">
        <v>85</v>
      </c>
      <c r="D21">
        <v>1</v>
      </c>
      <c r="E21">
        <v>3</v>
      </c>
      <c r="F21">
        <v>2</v>
      </c>
      <c r="G21">
        <v>3</v>
      </c>
      <c r="H21">
        <v>2</v>
      </c>
      <c r="I21">
        <v>5</v>
      </c>
      <c r="J21" s="11" t="s">
        <v>119</v>
      </c>
    </row>
    <row r="22" spans="1:10" ht="15" customHeight="1" x14ac:dyDescent="0.25">
      <c r="A22" t="s">
        <v>120</v>
      </c>
      <c r="B22" t="s">
        <v>91</v>
      </c>
      <c r="C22" t="s">
        <v>85</v>
      </c>
      <c r="D22">
        <v>2</v>
      </c>
      <c r="E22">
        <v>3</v>
      </c>
      <c r="F22">
        <v>5</v>
      </c>
      <c r="G22">
        <v>4</v>
      </c>
      <c r="H22">
        <v>5</v>
      </c>
      <c r="I22">
        <v>9</v>
      </c>
      <c r="J22" s="11" t="s">
        <v>121</v>
      </c>
    </row>
    <row r="23" spans="1:10" ht="27.75" customHeight="1" x14ac:dyDescent="0.25">
      <c r="A23" t="s">
        <v>122</v>
      </c>
      <c r="B23" t="s">
        <v>91</v>
      </c>
      <c r="C23" t="s">
        <v>88</v>
      </c>
      <c r="D23">
        <v>2</v>
      </c>
      <c r="E23">
        <v>4</v>
      </c>
      <c r="F23">
        <v>4</v>
      </c>
      <c r="G23">
        <v>5</v>
      </c>
      <c r="H23">
        <v>2</v>
      </c>
      <c r="I23">
        <v>8</v>
      </c>
      <c r="J23" s="11" t="s">
        <v>123</v>
      </c>
    </row>
    <row r="24" spans="1:10" ht="15" customHeight="1" x14ac:dyDescent="0.25">
      <c r="A24" t="s">
        <v>124</v>
      </c>
      <c r="B24" t="s">
        <v>91</v>
      </c>
      <c r="C24" t="s">
        <v>74</v>
      </c>
      <c r="D24">
        <v>4</v>
      </c>
      <c r="E24">
        <v>2</v>
      </c>
      <c r="F24">
        <v>5</v>
      </c>
      <c r="G24">
        <v>4</v>
      </c>
      <c r="H24">
        <v>3</v>
      </c>
      <c r="I24">
        <v>7</v>
      </c>
      <c r="J24" s="11" t="s">
        <v>125</v>
      </c>
    </row>
    <row r="25" spans="1:10" ht="27.75" customHeight="1" x14ac:dyDescent="0.25">
      <c r="A25" t="s">
        <v>126</v>
      </c>
      <c r="B25" t="s">
        <v>91</v>
      </c>
      <c r="C25" t="s">
        <v>88</v>
      </c>
      <c r="D25">
        <v>4</v>
      </c>
      <c r="E25">
        <v>4</v>
      </c>
      <c r="F25">
        <v>3</v>
      </c>
      <c r="G25">
        <v>3</v>
      </c>
      <c r="H25">
        <v>5</v>
      </c>
      <c r="I25">
        <v>8</v>
      </c>
      <c r="J25" s="11" t="s">
        <v>127</v>
      </c>
    </row>
    <row r="26" spans="1:10" ht="27.75" customHeight="1" x14ac:dyDescent="0.25">
      <c r="A26" t="s">
        <v>128</v>
      </c>
      <c r="B26" t="s">
        <v>118</v>
      </c>
      <c r="C26" t="s">
        <v>88</v>
      </c>
      <c r="D26">
        <v>3</v>
      </c>
      <c r="E26">
        <v>2</v>
      </c>
      <c r="F26">
        <v>4</v>
      </c>
      <c r="G26">
        <v>4</v>
      </c>
      <c r="H26">
        <v>3</v>
      </c>
      <c r="I26">
        <v>8</v>
      </c>
      <c r="J26" s="11" t="s">
        <v>129</v>
      </c>
    </row>
    <row r="27" spans="1:10" ht="27.75" customHeight="1" x14ac:dyDescent="0.25">
      <c r="A27" t="s">
        <v>130</v>
      </c>
      <c r="B27" t="s">
        <v>82</v>
      </c>
      <c r="C27" t="s">
        <v>74</v>
      </c>
      <c r="D27">
        <v>4</v>
      </c>
      <c r="E27">
        <v>4</v>
      </c>
      <c r="F27">
        <v>4</v>
      </c>
      <c r="G27">
        <v>5</v>
      </c>
      <c r="H27">
        <v>3</v>
      </c>
      <c r="I27">
        <v>6</v>
      </c>
      <c r="J27" s="11" t="s">
        <v>131</v>
      </c>
    </row>
    <row r="28" spans="1:10" ht="15" customHeight="1" x14ac:dyDescent="0.25">
      <c r="A28" t="s">
        <v>132</v>
      </c>
      <c r="B28" t="s">
        <v>77</v>
      </c>
      <c r="C28" t="s">
        <v>94</v>
      </c>
      <c r="D28">
        <v>5</v>
      </c>
      <c r="E28">
        <v>4</v>
      </c>
      <c r="F28">
        <v>4</v>
      </c>
      <c r="G28">
        <v>4</v>
      </c>
      <c r="H28">
        <v>3</v>
      </c>
      <c r="I28">
        <v>8</v>
      </c>
      <c r="J28" s="11" t="s">
        <v>78</v>
      </c>
    </row>
    <row r="29" spans="1:10" ht="27.75" customHeight="1" x14ac:dyDescent="0.25">
      <c r="A29" t="s">
        <v>133</v>
      </c>
      <c r="B29" t="s">
        <v>77</v>
      </c>
      <c r="C29" t="s">
        <v>85</v>
      </c>
      <c r="D29">
        <v>4</v>
      </c>
      <c r="E29">
        <v>4</v>
      </c>
      <c r="F29">
        <v>4</v>
      </c>
      <c r="G29">
        <v>4</v>
      </c>
      <c r="H29">
        <v>4</v>
      </c>
      <c r="I29">
        <v>6</v>
      </c>
      <c r="J29" s="11" t="s">
        <v>134</v>
      </c>
    </row>
    <row r="30" spans="1:10" ht="27.75" customHeight="1" x14ac:dyDescent="0.25">
      <c r="A30" t="s">
        <v>135</v>
      </c>
      <c r="B30" t="s">
        <v>118</v>
      </c>
      <c r="C30" t="s">
        <v>94</v>
      </c>
      <c r="D30">
        <v>4</v>
      </c>
      <c r="E30">
        <v>4</v>
      </c>
      <c r="F30">
        <v>4</v>
      </c>
      <c r="G30">
        <v>4</v>
      </c>
      <c r="H30">
        <v>5</v>
      </c>
      <c r="I30">
        <v>7</v>
      </c>
      <c r="J30" s="11" t="s">
        <v>136</v>
      </c>
    </row>
    <row r="31" spans="1:10" ht="27.75" customHeight="1" x14ac:dyDescent="0.25">
      <c r="A31" t="s">
        <v>137</v>
      </c>
      <c r="B31" t="s">
        <v>73</v>
      </c>
      <c r="C31" t="s">
        <v>94</v>
      </c>
      <c r="D31">
        <v>3</v>
      </c>
      <c r="E31">
        <v>4</v>
      </c>
      <c r="F31">
        <v>3</v>
      </c>
      <c r="G31">
        <v>4</v>
      </c>
      <c r="H31">
        <v>4</v>
      </c>
      <c r="I31">
        <v>5</v>
      </c>
      <c r="J31" s="11" t="s">
        <v>138</v>
      </c>
    </row>
    <row r="32" spans="1:10" ht="15" customHeight="1" x14ac:dyDescent="0.25">
      <c r="A32" t="s">
        <v>139</v>
      </c>
      <c r="B32" t="s">
        <v>82</v>
      </c>
      <c r="C32" t="s">
        <v>94</v>
      </c>
      <c r="D32">
        <v>4</v>
      </c>
      <c r="E32">
        <v>4</v>
      </c>
      <c r="F32">
        <v>4</v>
      </c>
      <c r="G32">
        <v>4</v>
      </c>
      <c r="H32">
        <v>4</v>
      </c>
      <c r="I32">
        <v>5</v>
      </c>
      <c r="J32" s="11" t="s">
        <v>121</v>
      </c>
    </row>
    <row r="33" spans="1:10" ht="15" customHeight="1" x14ac:dyDescent="0.25">
      <c r="A33" t="s">
        <v>140</v>
      </c>
      <c r="B33" t="s">
        <v>82</v>
      </c>
      <c r="C33" t="s">
        <v>74</v>
      </c>
      <c r="D33">
        <v>3</v>
      </c>
      <c r="E33">
        <v>4</v>
      </c>
      <c r="F33">
        <v>2</v>
      </c>
      <c r="G33">
        <v>1</v>
      </c>
      <c r="H33">
        <v>3</v>
      </c>
      <c r="I33">
        <v>5</v>
      </c>
      <c r="J33" s="11" t="s">
        <v>141</v>
      </c>
    </row>
    <row r="34" spans="1:10" ht="27.75" customHeight="1" x14ac:dyDescent="0.25">
      <c r="A34" t="s">
        <v>142</v>
      </c>
      <c r="B34" t="s">
        <v>91</v>
      </c>
      <c r="C34" t="s">
        <v>85</v>
      </c>
      <c r="D34">
        <v>3</v>
      </c>
      <c r="E34">
        <v>2</v>
      </c>
      <c r="F34">
        <v>3</v>
      </c>
      <c r="G34">
        <v>3</v>
      </c>
      <c r="H34">
        <v>3</v>
      </c>
      <c r="I34">
        <v>5</v>
      </c>
      <c r="J34" s="11" t="s">
        <v>104</v>
      </c>
    </row>
    <row r="35" spans="1:10" ht="27.75" customHeight="1" x14ac:dyDescent="0.25">
      <c r="A35" t="s">
        <v>143</v>
      </c>
      <c r="B35" t="s">
        <v>108</v>
      </c>
      <c r="C35" t="s">
        <v>94</v>
      </c>
      <c r="D35">
        <v>4</v>
      </c>
      <c r="E35">
        <v>4</v>
      </c>
      <c r="F35">
        <v>4</v>
      </c>
      <c r="G35">
        <v>3</v>
      </c>
      <c r="H35">
        <v>4</v>
      </c>
      <c r="I35">
        <v>4</v>
      </c>
      <c r="J35" s="11" t="s">
        <v>144</v>
      </c>
    </row>
    <row r="36" spans="1:10" ht="27.75" customHeight="1" x14ac:dyDescent="0.25">
      <c r="A36" t="s">
        <v>145</v>
      </c>
      <c r="B36" t="s">
        <v>77</v>
      </c>
      <c r="C36" t="s">
        <v>88</v>
      </c>
      <c r="D36">
        <v>4</v>
      </c>
      <c r="E36">
        <v>5</v>
      </c>
      <c r="F36">
        <v>5</v>
      </c>
      <c r="G36">
        <v>5</v>
      </c>
      <c r="H36">
        <v>4</v>
      </c>
      <c r="I36">
        <v>6</v>
      </c>
      <c r="J36" s="11" t="s">
        <v>146</v>
      </c>
    </row>
    <row r="37" spans="1:10" ht="27.75" customHeight="1" x14ac:dyDescent="0.25">
      <c r="A37" t="s">
        <v>147</v>
      </c>
      <c r="B37" t="s">
        <v>108</v>
      </c>
      <c r="C37" t="s">
        <v>85</v>
      </c>
      <c r="D37">
        <v>4</v>
      </c>
      <c r="E37">
        <v>5</v>
      </c>
      <c r="F37">
        <v>1</v>
      </c>
      <c r="G37">
        <v>4</v>
      </c>
      <c r="H37">
        <v>4</v>
      </c>
      <c r="I37">
        <v>8</v>
      </c>
      <c r="J37" s="11" t="s">
        <v>148</v>
      </c>
    </row>
    <row r="38" spans="1:10" ht="15" customHeight="1" x14ac:dyDescent="0.25">
      <c r="A38" t="s">
        <v>149</v>
      </c>
      <c r="B38" t="s">
        <v>82</v>
      </c>
      <c r="C38" t="s">
        <v>85</v>
      </c>
      <c r="D38">
        <v>3</v>
      </c>
      <c r="E38">
        <v>3</v>
      </c>
      <c r="F38">
        <v>2</v>
      </c>
      <c r="G38">
        <v>2</v>
      </c>
      <c r="H38">
        <v>3</v>
      </c>
      <c r="I38">
        <v>7</v>
      </c>
      <c r="J38" s="11" t="s">
        <v>150</v>
      </c>
    </row>
    <row r="39" spans="1:10" ht="27.75" customHeight="1" x14ac:dyDescent="0.25">
      <c r="A39" t="s">
        <v>151</v>
      </c>
      <c r="B39" t="s">
        <v>77</v>
      </c>
      <c r="C39" t="s">
        <v>85</v>
      </c>
      <c r="D39">
        <v>5</v>
      </c>
      <c r="E39">
        <v>3</v>
      </c>
      <c r="F39">
        <v>4</v>
      </c>
      <c r="G39">
        <v>4</v>
      </c>
      <c r="H39">
        <v>2</v>
      </c>
      <c r="I39">
        <v>10</v>
      </c>
      <c r="J39" s="11" t="s">
        <v>152</v>
      </c>
    </row>
    <row r="40" spans="1:10" ht="15" customHeight="1" x14ac:dyDescent="0.25">
      <c r="A40" t="s">
        <v>153</v>
      </c>
      <c r="B40" t="s">
        <v>91</v>
      </c>
      <c r="C40" t="s">
        <v>88</v>
      </c>
      <c r="D40">
        <v>4</v>
      </c>
      <c r="E40">
        <v>4</v>
      </c>
      <c r="F40">
        <v>5</v>
      </c>
      <c r="G40">
        <v>4</v>
      </c>
      <c r="H40">
        <v>4</v>
      </c>
      <c r="I40">
        <v>7</v>
      </c>
      <c r="J40" s="11" t="s">
        <v>125</v>
      </c>
    </row>
    <row r="41" spans="1:10" ht="27.75" customHeight="1" x14ac:dyDescent="0.25">
      <c r="A41" t="s">
        <v>154</v>
      </c>
      <c r="B41" t="s">
        <v>73</v>
      </c>
      <c r="C41" t="s">
        <v>88</v>
      </c>
      <c r="D41">
        <v>5</v>
      </c>
      <c r="E41">
        <v>3</v>
      </c>
      <c r="F41">
        <v>4</v>
      </c>
      <c r="G41">
        <v>5</v>
      </c>
      <c r="H41">
        <v>5</v>
      </c>
      <c r="I41">
        <v>9</v>
      </c>
      <c r="J41" s="11" t="s">
        <v>155</v>
      </c>
    </row>
    <row r="42" spans="1:10" ht="27.75" customHeight="1" x14ac:dyDescent="0.25">
      <c r="A42" t="s">
        <v>156</v>
      </c>
      <c r="B42" t="s">
        <v>73</v>
      </c>
      <c r="C42" t="s">
        <v>94</v>
      </c>
      <c r="D42">
        <v>3</v>
      </c>
      <c r="E42">
        <v>3</v>
      </c>
      <c r="F42">
        <v>4</v>
      </c>
      <c r="G42">
        <v>4</v>
      </c>
      <c r="H42">
        <v>4</v>
      </c>
      <c r="I42">
        <v>5</v>
      </c>
      <c r="J42" s="11" t="s">
        <v>157</v>
      </c>
    </row>
    <row r="43" spans="1:10" ht="15" customHeight="1" x14ac:dyDescent="0.25">
      <c r="A43" t="s">
        <v>158</v>
      </c>
      <c r="B43" t="s">
        <v>118</v>
      </c>
      <c r="C43" t="s">
        <v>74</v>
      </c>
      <c r="D43">
        <v>2</v>
      </c>
      <c r="E43">
        <v>4</v>
      </c>
      <c r="F43">
        <v>3</v>
      </c>
      <c r="G43">
        <v>3</v>
      </c>
      <c r="H43">
        <v>3</v>
      </c>
      <c r="I43">
        <v>5</v>
      </c>
      <c r="J43" s="11" t="s">
        <v>159</v>
      </c>
    </row>
    <row r="44" spans="1:10" ht="15" customHeight="1" x14ac:dyDescent="0.25">
      <c r="A44" t="s">
        <v>160</v>
      </c>
      <c r="B44" t="s">
        <v>118</v>
      </c>
      <c r="C44" t="s">
        <v>85</v>
      </c>
      <c r="D44">
        <v>5</v>
      </c>
      <c r="E44">
        <v>4</v>
      </c>
      <c r="F44">
        <v>4</v>
      </c>
      <c r="G44">
        <v>4</v>
      </c>
      <c r="H44">
        <v>5</v>
      </c>
      <c r="I44">
        <v>5</v>
      </c>
      <c r="J44" s="11" t="s">
        <v>121</v>
      </c>
    </row>
    <row r="45" spans="1:10" ht="27.75" customHeight="1" x14ac:dyDescent="0.25">
      <c r="A45" t="s">
        <v>161</v>
      </c>
      <c r="B45" t="s">
        <v>77</v>
      </c>
      <c r="C45" t="s">
        <v>88</v>
      </c>
      <c r="D45">
        <v>4</v>
      </c>
      <c r="E45">
        <v>3</v>
      </c>
      <c r="F45">
        <v>2</v>
      </c>
      <c r="G45">
        <v>1</v>
      </c>
      <c r="H45">
        <v>3</v>
      </c>
      <c r="I45">
        <v>4</v>
      </c>
      <c r="J45" s="11" t="s">
        <v>95</v>
      </c>
    </row>
    <row r="46" spans="1:10" ht="15" customHeight="1" x14ac:dyDescent="0.25">
      <c r="A46" t="s">
        <v>162</v>
      </c>
      <c r="B46" t="s">
        <v>118</v>
      </c>
      <c r="C46" t="s">
        <v>94</v>
      </c>
      <c r="D46">
        <v>4</v>
      </c>
      <c r="E46">
        <v>5</v>
      </c>
      <c r="F46">
        <v>5</v>
      </c>
      <c r="G46">
        <v>3</v>
      </c>
      <c r="H46">
        <v>4</v>
      </c>
      <c r="I46">
        <v>8</v>
      </c>
      <c r="J46" s="11" t="s">
        <v>75</v>
      </c>
    </row>
    <row r="47" spans="1:10" ht="15" customHeight="1" x14ac:dyDescent="0.25">
      <c r="A47" t="s">
        <v>163</v>
      </c>
      <c r="B47" t="s">
        <v>91</v>
      </c>
      <c r="C47" t="s">
        <v>85</v>
      </c>
      <c r="D47">
        <v>1</v>
      </c>
      <c r="E47">
        <v>2</v>
      </c>
      <c r="F47">
        <v>3</v>
      </c>
      <c r="G47">
        <v>2</v>
      </c>
      <c r="H47">
        <v>3</v>
      </c>
      <c r="I47">
        <v>3</v>
      </c>
      <c r="J47" s="11" t="s">
        <v>89</v>
      </c>
    </row>
    <row r="48" spans="1:10" ht="15" customHeight="1" x14ac:dyDescent="0.25">
      <c r="A48" t="s">
        <v>164</v>
      </c>
      <c r="B48" t="s">
        <v>73</v>
      </c>
      <c r="C48" t="s">
        <v>88</v>
      </c>
      <c r="D48">
        <v>4</v>
      </c>
      <c r="E48">
        <v>3</v>
      </c>
      <c r="F48">
        <v>5</v>
      </c>
      <c r="G48">
        <v>5</v>
      </c>
      <c r="H48">
        <v>5</v>
      </c>
      <c r="I48">
        <v>9</v>
      </c>
      <c r="J48" s="11" t="s">
        <v>78</v>
      </c>
    </row>
    <row r="49" spans="1:10" ht="27.75" customHeight="1" x14ac:dyDescent="0.25">
      <c r="A49" t="s">
        <v>165</v>
      </c>
      <c r="B49" t="s">
        <v>118</v>
      </c>
      <c r="C49" t="s">
        <v>85</v>
      </c>
      <c r="D49">
        <v>4</v>
      </c>
      <c r="E49">
        <v>2</v>
      </c>
      <c r="F49">
        <v>2</v>
      </c>
      <c r="G49">
        <v>4</v>
      </c>
      <c r="H49">
        <v>3</v>
      </c>
      <c r="I49">
        <v>4</v>
      </c>
      <c r="J49" s="11" t="s">
        <v>166</v>
      </c>
    </row>
    <row r="50" spans="1:10" ht="15" customHeight="1" x14ac:dyDescent="0.25">
      <c r="A50" t="s">
        <v>167</v>
      </c>
      <c r="B50" t="s">
        <v>77</v>
      </c>
      <c r="C50" t="s">
        <v>94</v>
      </c>
      <c r="D50">
        <v>2</v>
      </c>
      <c r="E50">
        <v>3</v>
      </c>
      <c r="F50">
        <v>2</v>
      </c>
      <c r="G50">
        <v>2</v>
      </c>
      <c r="H50">
        <v>3</v>
      </c>
      <c r="I50">
        <v>1</v>
      </c>
      <c r="J50" s="11" t="s">
        <v>111</v>
      </c>
    </row>
    <row r="51" spans="1:10" ht="27.75" customHeight="1" x14ac:dyDescent="0.25">
      <c r="A51" t="s">
        <v>168</v>
      </c>
      <c r="B51" t="s">
        <v>82</v>
      </c>
      <c r="C51" t="s">
        <v>88</v>
      </c>
      <c r="D51">
        <v>3</v>
      </c>
      <c r="E51">
        <v>2</v>
      </c>
      <c r="F51">
        <v>1</v>
      </c>
      <c r="G51">
        <v>3</v>
      </c>
      <c r="H51">
        <v>4</v>
      </c>
      <c r="I51">
        <v>7</v>
      </c>
      <c r="J51" s="11" t="s">
        <v>169</v>
      </c>
    </row>
    <row r="52" spans="1:10" ht="15" customHeight="1" x14ac:dyDescent="0.25">
      <c r="A52" t="s">
        <v>170</v>
      </c>
      <c r="B52" t="s">
        <v>82</v>
      </c>
      <c r="C52" t="s">
        <v>85</v>
      </c>
      <c r="D52">
        <v>2</v>
      </c>
      <c r="E52">
        <v>2</v>
      </c>
      <c r="F52">
        <v>3</v>
      </c>
      <c r="G52">
        <v>4</v>
      </c>
      <c r="H52">
        <v>4</v>
      </c>
      <c r="I52">
        <v>4</v>
      </c>
      <c r="J52" s="11" t="s">
        <v>99</v>
      </c>
    </row>
    <row r="53" spans="1:10" ht="15" customHeight="1" x14ac:dyDescent="0.25">
      <c r="A53" t="s">
        <v>171</v>
      </c>
      <c r="B53" t="s">
        <v>91</v>
      </c>
      <c r="C53" t="s">
        <v>88</v>
      </c>
      <c r="D53">
        <v>3</v>
      </c>
      <c r="E53">
        <v>5</v>
      </c>
      <c r="F53">
        <v>4</v>
      </c>
      <c r="G53">
        <v>5</v>
      </c>
      <c r="H53">
        <v>4</v>
      </c>
      <c r="I53">
        <v>5</v>
      </c>
      <c r="J53" s="11" t="s">
        <v>172</v>
      </c>
    </row>
    <row r="54" spans="1:10" ht="27.75" customHeight="1" x14ac:dyDescent="0.25">
      <c r="A54" t="s">
        <v>173</v>
      </c>
      <c r="B54" t="s">
        <v>108</v>
      </c>
      <c r="C54" t="s">
        <v>94</v>
      </c>
      <c r="D54">
        <v>3</v>
      </c>
      <c r="E54">
        <v>5</v>
      </c>
      <c r="F54">
        <v>3</v>
      </c>
      <c r="G54">
        <v>4</v>
      </c>
      <c r="H54">
        <v>4</v>
      </c>
      <c r="I54">
        <v>8</v>
      </c>
      <c r="J54" s="11" t="s">
        <v>174</v>
      </c>
    </row>
    <row r="55" spans="1:10" ht="15" customHeight="1" x14ac:dyDescent="0.25">
      <c r="A55" t="s">
        <v>175</v>
      </c>
      <c r="B55" t="s">
        <v>82</v>
      </c>
      <c r="C55" t="s">
        <v>94</v>
      </c>
      <c r="D55">
        <v>3</v>
      </c>
      <c r="E55">
        <v>2</v>
      </c>
      <c r="F55">
        <v>3</v>
      </c>
      <c r="G55">
        <v>3</v>
      </c>
      <c r="H55">
        <v>3</v>
      </c>
      <c r="I55">
        <v>4</v>
      </c>
      <c r="J55" s="11" t="s">
        <v>101</v>
      </c>
    </row>
    <row r="56" spans="1:10" ht="27.75" customHeight="1" x14ac:dyDescent="0.25">
      <c r="A56" t="s">
        <v>176</v>
      </c>
      <c r="B56" t="s">
        <v>108</v>
      </c>
      <c r="C56" t="s">
        <v>94</v>
      </c>
      <c r="D56">
        <v>2</v>
      </c>
      <c r="E56">
        <v>2</v>
      </c>
      <c r="F56">
        <v>4</v>
      </c>
      <c r="G56">
        <v>4</v>
      </c>
      <c r="H56">
        <v>2</v>
      </c>
      <c r="I56">
        <v>7</v>
      </c>
      <c r="J56" s="11" t="s">
        <v>177</v>
      </c>
    </row>
    <row r="57" spans="1:10" ht="27.75" customHeight="1" x14ac:dyDescent="0.25">
      <c r="A57" t="s">
        <v>178</v>
      </c>
      <c r="B57" t="s">
        <v>82</v>
      </c>
      <c r="C57" t="s">
        <v>74</v>
      </c>
      <c r="D57">
        <v>4</v>
      </c>
      <c r="E57">
        <v>3</v>
      </c>
      <c r="F57">
        <v>3</v>
      </c>
      <c r="G57">
        <v>4</v>
      </c>
      <c r="H57">
        <v>4</v>
      </c>
      <c r="I57">
        <v>10</v>
      </c>
      <c r="J57" s="11" t="s">
        <v>179</v>
      </c>
    </row>
    <row r="58" spans="1:10" ht="15" customHeight="1" x14ac:dyDescent="0.25">
      <c r="A58" t="s">
        <v>180</v>
      </c>
      <c r="B58" t="s">
        <v>82</v>
      </c>
      <c r="C58" t="s">
        <v>94</v>
      </c>
      <c r="D58">
        <v>2</v>
      </c>
      <c r="E58">
        <v>3</v>
      </c>
      <c r="F58">
        <v>4</v>
      </c>
      <c r="G58">
        <v>5</v>
      </c>
      <c r="H58">
        <v>4</v>
      </c>
      <c r="I58">
        <v>10</v>
      </c>
      <c r="J58" s="11" t="s">
        <v>181</v>
      </c>
    </row>
    <row r="59" spans="1:10" ht="15" customHeight="1" x14ac:dyDescent="0.25">
      <c r="A59" t="s">
        <v>182</v>
      </c>
      <c r="B59" t="s">
        <v>118</v>
      </c>
      <c r="C59" t="s">
        <v>74</v>
      </c>
      <c r="D59">
        <v>2</v>
      </c>
      <c r="E59">
        <v>4</v>
      </c>
      <c r="F59">
        <v>3</v>
      </c>
      <c r="G59">
        <v>1</v>
      </c>
      <c r="H59">
        <v>1</v>
      </c>
      <c r="I59">
        <v>6</v>
      </c>
      <c r="J59" s="11" t="s">
        <v>183</v>
      </c>
    </row>
    <row r="60" spans="1:10" ht="15" customHeight="1" x14ac:dyDescent="0.25">
      <c r="A60" t="s">
        <v>184</v>
      </c>
      <c r="B60" t="s">
        <v>77</v>
      </c>
      <c r="C60" t="s">
        <v>85</v>
      </c>
      <c r="D60">
        <v>2</v>
      </c>
      <c r="E60">
        <v>3</v>
      </c>
      <c r="F60">
        <v>3</v>
      </c>
      <c r="G60">
        <v>2</v>
      </c>
      <c r="H60">
        <v>3</v>
      </c>
      <c r="I60">
        <v>5</v>
      </c>
      <c r="J60" s="11" t="s">
        <v>89</v>
      </c>
    </row>
    <row r="61" spans="1:10" ht="27.75" customHeight="1" x14ac:dyDescent="0.25">
      <c r="A61" t="s">
        <v>185</v>
      </c>
      <c r="B61" t="s">
        <v>73</v>
      </c>
      <c r="C61" t="s">
        <v>85</v>
      </c>
      <c r="D61">
        <v>2</v>
      </c>
      <c r="E61">
        <v>4</v>
      </c>
      <c r="F61">
        <v>4</v>
      </c>
      <c r="G61">
        <v>3</v>
      </c>
      <c r="H61">
        <v>3</v>
      </c>
      <c r="I61">
        <v>5</v>
      </c>
      <c r="J61" s="11" t="s">
        <v>186</v>
      </c>
    </row>
    <row r="62" spans="1:10" ht="27.75" customHeight="1" x14ac:dyDescent="0.25">
      <c r="A62" t="s">
        <v>187</v>
      </c>
      <c r="B62" t="s">
        <v>118</v>
      </c>
      <c r="C62" t="s">
        <v>88</v>
      </c>
      <c r="D62">
        <v>3</v>
      </c>
      <c r="E62">
        <v>5</v>
      </c>
      <c r="F62">
        <v>3</v>
      </c>
      <c r="G62">
        <v>5</v>
      </c>
      <c r="H62">
        <v>2</v>
      </c>
      <c r="I62">
        <v>7</v>
      </c>
      <c r="J62" s="11" t="s">
        <v>188</v>
      </c>
    </row>
    <row r="63" spans="1:10" ht="27.75" customHeight="1" x14ac:dyDescent="0.25">
      <c r="A63" t="s">
        <v>189</v>
      </c>
      <c r="B63" t="s">
        <v>77</v>
      </c>
      <c r="C63" t="s">
        <v>88</v>
      </c>
      <c r="D63">
        <v>2</v>
      </c>
      <c r="E63">
        <v>2</v>
      </c>
      <c r="F63">
        <v>3</v>
      </c>
      <c r="G63">
        <v>3</v>
      </c>
      <c r="H63">
        <v>5</v>
      </c>
      <c r="I63">
        <v>5</v>
      </c>
      <c r="J63" s="11" t="s">
        <v>190</v>
      </c>
    </row>
    <row r="64" spans="1:10" ht="15" customHeight="1" x14ac:dyDescent="0.25">
      <c r="A64" t="s">
        <v>191</v>
      </c>
      <c r="B64" t="s">
        <v>91</v>
      </c>
      <c r="C64" t="s">
        <v>94</v>
      </c>
      <c r="D64">
        <v>3</v>
      </c>
      <c r="E64">
        <v>3</v>
      </c>
      <c r="F64">
        <v>3</v>
      </c>
      <c r="G64">
        <v>5</v>
      </c>
      <c r="H64">
        <v>4</v>
      </c>
      <c r="I64">
        <v>4</v>
      </c>
      <c r="J64" s="11" t="s">
        <v>192</v>
      </c>
    </row>
    <row r="65" spans="1:10" ht="15" customHeight="1" x14ac:dyDescent="0.25">
      <c r="A65" t="s">
        <v>193</v>
      </c>
      <c r="B65" t="s">
        <v>77</v>
      </c>
      <c r="C65" t="s">
        <v>74</v>
      </c>
      <c r="D65">
        <v>2</v>
      </c>
      <c r="E65">
        <v>2</v>
      </c>
      <c r="F65">
        <v>2</v>
      </c>
      <c r="G65">
        <v>3</v>
      </c>
      <c r="H65">
        <v>2</v>
      </c>
      <c r="I65">
        <v>6</v>
      </c>
      <c r="J65" s="11" t="s">
        <v>99</v>
      </c>
    </row>
    <row r="66" spans="1:10" ht="15" customHeight="1" x14ac:dyDescent="0.25">
      <c r="A66" t="s">
        <v>194</v>
      </c>
      <c r="B66" t="s">
        <v>82</v>
      </c>
      <c r="C66" t="s">
        <v>94</v>
      </c>
      <c r="D66">
        <v>3</v>
      </c>
      <c r="E66">
        <v>1</v>
      </c>
      <c r="F66">
        <v>2</v>
      </c>
      <c r="G66">
        <v>1</v>
      </c>
      <c r="H66">
        <v>2</v>
      </c>
      <c r="I66">
        <v>7</v>
      </c>
      <c r="J66" s="11" t="s">
        <v>150</v>
      </c>
    </row>
    <row r="67" spans="1:10" ht="27.75" customHeight="1" x14ac:dyDescent="0.25">
      <c r="A67" t="s">
        <v>195</v>
      </c>
      <c r="B67" t="s">
        <v>91</v>
      </c>
      <c r="C67" t="s">
        <v>88</v>
      </c>
      <c r="D67">
        <v>4</v>
      </c>
      <c r="E67">
        <v>3</v>
      </c>
      <c r="F67">
        <v>4</v>
      </c>
      <c r="G67">
        <v>3</v>
      </c>
      <c r="H67">
        <v>4</v>
      </c>
      <c r="I67">
        <v>5</v>
      </c>
      <c r="J67" s="11" t="s">
        <v>196</v>
      </c>
    </row>
    <row r="68" spans="1:10" ht="27.75" customHeight="1" x14ac:dyDescent="0.25">
      <c r="A68" t="s">
        <v>197</v>
      </c>
      <c r="B68" t="s">
        <v>77</v>
      </c>
      <c r="C68" t="s">
        <v>85</v>
      </c>
      <c r="D68">
        <v>3</v>
      </c>
      <c r="E68">
        <v>2</v>
      </c>
      <c r="F68">
        <v>2</v>
      </c>
      <c r="G68">
        <v>2</v>
      </c>
      <c r="H68">
        <v>3</v>
      </c>
      <c r="I68">
        <v>3</v>
      </c>
      <c r="J68" s="11" t="s">
        <v>129</v>
      </c>
    </row>
    <row r="69" spans="1:10" ht="27.75" customHeight="1" x14ac:dyDescent="0.25">
      <c r="A69" t="s">
        <v>198</v>
      </c>
      <c r="B69" t="s">
        <v>108</v>
      </c>
      <c r="C69" t="s">
        <v>88</v>
      </c>
      <c r="D69">
        <v>4</v>
      </c>
      <c r="E69">
        <v>4</v>
      </c>
      <c r="F69">
        <v>4</v>
      </c>
      <c r="G69">
        <v>3</v>
      </c>
      <c r="H69">
        <v>3</v>
      </c>
      <c r="I69">
        <v>7</v>
      </c>
      <c r="J69" s="11" t="s">
        <v>199</v>
      </c>
    </row>
    <row r="70" spans="1:10" ht="15" customHeight="1" x14ac:dyDescent="0.25">
      <c r="A70" t="s">
        <v>200</v>
      </c>
      <c r="B70" t="s">
        <v>82</v>
      </c>
      <c r="C70" t="s">
        <v>74</v>
      </c>
      <c r="D70">
        <v>3</v>
      </c>
      <c r="E70">
        <v>3</v>
      </c>
      <c r="F70">
        <v>3</v>
      </c>
      <c r="G70">
        <v>3</v>
      </c>
      <c r="H70">
        <v>1</v>
      </c>
      <c r="I70">
        <v>2</v>
      </c>
      <c r="J70" s="11" t="s">
        <v>201</v>
      </c>
    </row>
    <row r="71" spans="1:10" ht="27.75" customHeight="1" x14ac:dyDescent="0.25">
      <c r="A71" t="s">
        <v>202</v>
      </c>
      <c r="B71" t="s">
        <v>108</v>
      </c>
      <c r="C71" t="s">
        <v>94</v>
      </c>
      <c r="D71">
        <v>5</v>
      </c>
      <c r="E71">
        <v>2</v>
      </c>
      <c r="F71">
        <v>3</v>
      </c>
      <c r="G71">
        <v>4</v>
      </c>
      <c r="H71">
        <v>3</v>
      </c>
      <c r="I71">
        <v>4</v>
      </c>
      <c r="J71" s="11" t="s">
        <v>116</v>
      </c>
    </row>
    <row r="72" spans="1:10" ht="15" customHeight="1" x14ac:dyDescent="0.25">
      <c r="A72" t="s">
        <v>203</v>
      </c>
      <c r="B72" t="s">
        <v>73</v>
      </c>
      <c r="C72" t="s">
        <v>85</v>
      </c>
      <c r="D72">
        <v>3</v>
      </c>
      <c r="E72">
        <v>3</v>
      </c>
      <c r="F72">
        <v>2</v>
      </c>
      <c r="G72">
        <v>4</v>
      </c>
      <c r="H72">
        <v>2</v>
      </c>
      <c r="I72">
        <v>7</v>
      </c>
      <c r="J72" s="11" t="s">
        <v>201</v>
      </c>
    </row>
    <row r="73" spans="1:10" ht="27.75" customHeight="1" x14ac:dyDescent="0.25">
      <c r="A73" t="s">
        <v>204</v>
      </c>
      <c r="B73" t="s">
        <v>82</v>
      </c>
      <c r="C73" t="s">
        <v>85</v>
      </c>
      <c r="D73">
        <v>5</v>
      </c>
      <c r="E73">
        <v>5</v>
      </c>
      <c r="F73">
        <v>4</v>
      </c>
      <c r="G73">
        <v>4</v>
      </c>
      <c r="H73">
        <v>2</v>
      </c>
      <c r="I73">
        <v>10</v>
      </c>
      <c r="J73" s="11" t="s">
        <v>205</v>
      </c>
    </row>
    <row r="74" spans="1:10" ht="27.75" customHeight="1" x14ac:dyDescent="0.25">
      <c r="A74" t="s">
        <v>206</v>
      </c>
      <c r="B74" t="s">
        <v>77</v>
      </c>
      <c r="C74" t="s">
        <v>94</v>
      </c>
      <c r="D74">
        <v>3</v>
      </c>
      <c r="E74">
        <v>2</v>
      </c>
      <c r="F74">
        <v>3</v>
      </c>
      <c r="G74">
        <v>3</v>
      </c>
      <c r="H74">
        <v>3</v>
      </c>
      <c r="I74">
        <v>7</v>
      </c>
      <c r="J74" s="11" t="s">
        <v>207</v>
      </c>
    </row>
    <row r="75" spans="1:10" ht="15" customHeight="1" x14ac:dyDescent="0.25">
      <c r="A75" t="s">
        <v>208</v>
      </c>
      <c r="B75" t="s">
        <v>91</v>
      </c>
      <c r="C75" t="s">
        <v>85</v>
      </c>
      <c r="D75">
        <v>3</v>
      </c>
      <c r="E75">
        <v>4</v>
      </c>
      <c r="F75">
        <v>4</v>
      </c>
      <c r="G75">
        <v>3</v>
      </c>
      <c r="H75">
        <v>4</v>
      </c>
      <c r="I75">
        <v>10</v>
      </c>
      <c r="J75" s="11" t="s">
        <v>209</v>
      </c>
    </row>
    <row r="76" spans="1:10" ht="27.75" customHeight="1" x14ac:dyDescent="0.25">
      <c r="A76" t="s">
        <v>210</v>
      </c>
      <c r="B76" t="s">
        <v>118</v>
      </c>
      <c r="C76" t="s">
        <v>94</v>
      </c>
      <c r="D76">
        <v>5</v>
      </c>
      <c r="E76">
        <v>5</v>
      </c>
      <c r="F76">
        <v>3</v>
      </c>
      <c r="G76">
        <v>5</v>
      </c>
      <c r="H76">
        <v>5</v>
      </c>
      <c r="I76">
        <v>4</v>
      </c>
      <c r="J76" s="11" t="s">
        <v>152</v>
      </c>
    </row>
    <row r="77" spans="1:10" ht="27.75" customHeight="1" x14ac:dyDescent="0.25">
      <c r="A77" t="s">
        <v>211</v>
      </c>
      <c r="B77" t="s">
        <v>91</v>
      </c>
      <c r="C77" t="s">
        <v>94</v>
      </c>
      <c r="D77">
        <v>4</v>
      </c>
      <c r="E77">
        <v>4</v>
      </c>
      <c r="F77">
        <v>5</v>
      </c>
      <c r="G77">
        <v>5</v>
      </c>
      <c r="H77">
        <v>4</v>
      </c>
      <c r="I77">
        <v>10</v>
      </c>
      <c r="J77" s="11" t="s">
        <v>212</v>
      </c>
    </row>
    <row r="78" spans="1:10" ht="15" customHeight="1" x14ac:dyDescent="0.25">
      <c r="A78" t="s">
        <v>213</v>
      </c>
      <c r="B78" t="s">
        <v>77</v>
      </c>
      <c r="C78" t="s">
        <v>74</v>
      </c>
      <c r="D78">
        <v>2</v>
      </c>
      <c r="E78">
        <v>2</v>
      </c>
      <c r="F78">
        <v>3</v>
      </c>
      <c r="G78">
        <v>3</v>
      </c>
      <c r="H78">
        <v>2</v>
      </c>
      <c r="I78">
        <v>6</v>
      </c>
      <c r="J78" s="11" t="s">
        <v>119</v>
      </c>
    </row>
    <row r="79" spans="1:10" ht="27.75" customHeight="1" x14ac:dyDescent="0.25">
      <c r="A79" t="s">
        <v>214</v>
      </c>
      <c r="B79" t="s">
        <v>118</v>
      </c>
      <c r="C79" t="s">
        <v>85</v>
      </c>
      <c r="D79">
        <v>3</v>
      </c>
      <c r="E79">
        <v>3</v>
      </c>
      <c r="F79">
        <v>3</v>
      </c>
      <c r="G79">
        <v>3</v>
      </c>
      <c r="H79">
        <v>3</v>
      </c>
      <c r="I79">
        <v>4</v>
      </c>
      <c r="J79" s="11" t="s">
        <v>215</v>
      </c>
    </row>
    <row r="80" spans="1:10" ht="15" customHeight="1" x14ac:dyDescent="0.25">
      <c r="A80" t="s">
        <v>216</v>
      </c>
      <c r="B80" t="s">
        <v>73</v>
      </c>
      <c r="C80" t="s">
        <v>94</v>
      </c>
      <c r="D80">
        <v>3</v>
      </c>
      <c r="E80">
        <v>4</v>
      </c>
      <c r="F80">
        <v>2</v>
      </c>
      <c r="G80">
        <v>3</v>
      </c>
      <c r="H80">
        <v>1</v>
      </c>
      <c r="I80">
        <v>4</v>
      </c>
      <c r="J80" s="11" t="s">
        <v>141</v>
      </c>
    </row>
    <row r="81" spans="1:10" ht="15" customHeight="1" x14ac:dyDescent="0.25">
      <c r="A81" t="s">
        <v>217</v>
      </c>
      <c r="B81" t="s">
        <v>82</v>
      </c>
      <c r="C81" t="s">
        <v>85</v>
      </c>
      <c r="D81">
        <v>1</v>
      </c>
      <c r="E81">
        <v>3</v>
      </c>
      <c r="F81">
        <v>4</v>
      </c>
      <c r="G81">
        <v>3</v>
      </c>
      <c r="H81">
        <v>3</v>
      </c>
      <c r="I81">
        <v>6</v>
      </c>
      <c r="J81" s="11" t="s">
        <v>159</v>
      </c>
    </row>
    <row r="82" spans="1:10" ht="27.75" customHeight="1" x14ac:dyDescent="0.25">
      <c r="A82" t="s">
        <v>218</v>
      </c>
      <c r="B82" t="s">
        <v>91</v>
      </c>
      <c r="C82" t="s">
        <v>85</v>
      </c>
      <c r="D82">
        <v>3</v>
      </c>
      <c r="E82">
        <v>3</v>
      </c>
      <c r="F82">
        <v>2</v>
      </c>
      <c r="G82">
        <v>3</v>
      </c>
      <c r="H82">
        <v>4</v>
      </c>
      <c r="I82">
        <v>6</v>
      </c>
      <c r="J82" s="11" t="s">
        <v>219</v>
      </c>
    </row>
    <row r="83" spans="1:10" ht="15" customHeight="1" x14ac:dyDescent="0.25">
      <c r="A83" t="s">
        <v>220</v>
      </c>
      <c r="B83" t="s">
        <v>108</v>
      </c>
      <c r="C83" t="s">
        <v>94</v>
      </c>
      <c r="D83">
        <v>3</v>
      </c>
      <c r="E83">
        <v>2</v>
      </c>
      <c r="F83">
        <v>3</v>
      </c>
      <c r="G83">
        <v>3</v>
      </c>
      <c r="H83">
        <v>3</v>
      </c>
      <c r="I83">
        <v>7</v>
      </c>
      <c r="J83" s="11" t="s">
        <v>92</v>
      </c>
    </row>
    <row r="84" spans="1:10" ht="27.75" customHeight="1" x14ac:dyDescent="0.25">
      <c r="A84" t="s">
        <v>221</v>
      </c>
      <c r="B84" t="s">
        <v>118</v>
      </c>
      <c r="C84" t="s">
        <v>88</v>
      </c>
      <c r="D84">
        <v>2</v>
      </c>
      <c r="E84">
        <v>2</v>
      </c>
      <c r="F84">
        <v>3</v>
      </c>
      <c r="G84">
        <v>3</v>
      </c>
      <c r="H84">
        <v>2</v>
      </c>
      <c r="I84">
        <v>7</v>
      </c>
      <c r="J84" s="11" t="s">
        <v>222</v>
      </c>
    </row>
    <row r="85" spans="1:10" ht="27.75" customHeight="1" x14ac:dyDescent="0.25">
      <c r="A85" t="s">
        <v>223</v>
      </c>
      <c r="B85" t="s">
        <v>108</v>
      </c>
      <c r="C85" t="s">
        <v>94</v>
      </c>
      <c r="D85">
        <v>4</v>
      </c>
      <c r="E85">
        <v>5</v>
      </c>
      <c r="F85">
        <v>5</v>
      </c>
      <c r="G85">
        <v>3</v>
      </c>
      <c r="H85">
        <v>5</v>
      </c>
      <c r="I85">
        <v>8</v>
      </c>
      <c r="J85" s="11" t="s">
        <v>224</v>
      </c>
    </row>
    <row r="86" spans="1:10" ht="15" customHeight="1" x14ac:dyDescent="0.25">
      <c r="A86" t="s">
        <v>225</v>
      </c>
      <c r="B86" t="s">
        <v>73</v>
      </c>
      <c r="C86" t="s">
        <v>85</v>
      </c>
      <c r="D86">
        <v>5</v>
      </c>
      <c r="E86">
        <v>3</v>
      </c>
      <c r="F86">
        <v>5</v>
      </c>
      <c r="G86">
        <v>5</v>
      </c>
      <c r="H86">
        <v>5</v>
      </c>
      <c r="I86">
        <v>9</v>
      </c>
      <c r="J86" s="11" t="s">
        <v>226</v>
      </c>
    </row>
    <row r="87" spans="1:10" ht="15" customHeight="1" x14ac:dyDescent="0.25">
      <c r="A87" t="s">
        <v>227</v>
      </c>
      <c r="B87" t="s">
        <v>91</v>
      </c>
      <c r="C87" t="s">
        <v>88</v>
      </c>
      <c r="D87">
        <v>5</v>
      </c>
      <c r="E87">
        <v>3</v>
      </c>
      <c r="F87">
        <v>5</v>
      </c>
      <c r="G87">
        <v>5</v>
      </c>
      <c r="H87">
        <v>5</v>
      </c>
      <c r="I87">
        <v>5</v>
      </c>
      <c r="J87" s="11" t="s">
        <v>228</v>
      </c>
    </row>
    <row r="88" spans="1:10" ht="27.75" customHeight="1" x14ac:dyDescent="0.25">
      <c r="A88" t="s">
        <v>229</v>
      </c>
      <c r="B88" t="s">
        <v>82</v>
      </c>
      <c r="C88" t="s">
        <v>94</v>
      </c>
      <c r="D88">
        <v>3</v>
      </c>
      <c r="E88">
        <v>4</v>
      </c>
      <c r="F88">
        <v>2</v>
      </c>
      <c r="G88">
        <v>2</v>
      </c>
      <c r="H88">
        <v>3</v>
      </c>
      <c r="I88">
        <v>7</v>
      </c>
      <c r="J88" s="11" t="s">
        <v>230</v>
      </c>
    </row>
    <row r="89" spans="1:10" ht="15" customHeight="1" x14ac:dyDescent="0.25">
      <c r="A89" t="s">
        <v>231</v>
      </c>
      <c r="B89" t="s">
        <v>82</v>
      </c>
      <c r="C89" t="s">
        <v>74</v>
      </c>
      <c r="D89">
        <v>3</v>
      </c>
      <c r="E89">
        <v>2</v>
      </c>
      <c r="F89">
        <v>4</v>
      </c>
      <c r="G89">
        <v>3</v>
      </c>
      <c r="H89">
        <v>3</v>
      </c>
      <c r="I89">
        <v>2</v>
      </c>
      <c r="J89" s="11" t="s">
        <v>232</v>
      </c>
    </row>
    <row r="90" spans="1:10" ht="15" customHeight="1" x14ac:dyDescent="0.25">
      <c r="A90" t="s">
        <v>233</v>
      </c>
      <c r="B90" t="s">
        <v>118</v>
      </c>
      <c r="C90" t="s">
        <v>94</v>
      </c>
      <c r="D90">
        <v>4</v>
      </c>
      <c r="E90">
        <v>4</v>
      </c>
      <c r="F90">
        <v>4</v>
      </c>
      <c r="G90">
        <v>4</v>
      </c>
      <c r="H90">
        <v>4</v>
      </c>
      <c r="I90">
        <v>10</v>
      </c>
      <c r="J90" s="11" t="s">
        <v>86</v>
      </c>
    </row>
    <row r="91" spans="1:10" ht="15" customHeight="1" x14ac:dyDescent="0.25">
      <c r="A91" t="s">
        <v>234</v>
      </c>
      <c r="B91" t="s">
        <v>91</v>
      </c>
      <c r="C91" t="s">
        <v>74</v>
      </c>
      <c r="D91">
        <v>3</v>
      </c>
      <c r="E91">
        <v>3</v>
      </c>
      <c r="F91">
        <v>2</v>
      </c>
      <c r="G91">
        <v>3</v>
      </c>
      <c r="H91">
        <v>3</v>
      </c>
      <c r="I91">
        <v>4</v>
      </c>
      <c r="J91" s="11" t="s">
        <v>101</v>
      </c>
    </row>
    <row r="92" spans="1:10" ht="15" customHeight="1" x14ac:dyDescent="0.25">
      <c r="A92" t="s">
        <v>235</v>
      </c>
      <c r="B92" t="s">
        <v>73</v>
      </c>
      <c r="C92" t="s">
        <v>85</v>
      </c>
      <c r="D92">
        <v>3</v>
      </c>
      <c r="E92">
        <v>5</v>
      </c>
      <c r="F92">
        <v>5</v>
      </c>
      <c r="G92">
        <v>5</v>
      </c>
      <c r="H92">
        <v>4</v>
      </c>
      <c r="I92">
        <v>8</v>
      </c>
      <c r="J92" s="11" t="s">
        <v>192</v>
      </c>
    </row>
    <row r="93" spans="1:10" ht="15" customHeight="1" x14ac:dyDescent="0.25">
      <c r="A93" t="s">
        <v>236</v>
      </c>
      <c r="B93" t="s">
        <v>73</v>
      </c>
      <c r="C93" t="s">
        <v>88</v>
      </c>
      <c r="D93">
        <v>3</v>
      </c>
      <c r="E93">
        <v>4</v>
      </c>
      <c r="F93">
        <v>5</v>
      </c>
      <c r="G93">
        <v>3</v>
      </c>
      <c r="H93">
        <v>2</v>
      </c>
      <c r="I93">
        <v>7</v>
      </c>
      <c r="J93" s="11" t="s">
        <v>226</v>
      </c>
    </row>
    <row r="94" spans="1:10" ht="15" customHeight="1" x14ac:dyDescent="0.25">
      <c r="A94" t="s">
        <v>237</v>
      </c>
      <c r="B94" t="s">
        <v>77</v>
      </c>
      <c r="C94" t="s">
        <v>94</v>
      </c>
      <c r="D94">
        <v>5</v>
      </c>
      <c r="E94">
        <v>3</v>
      </c>
      <c r="F94">
        <v>2</v>
      </c>
      <c r="G94">
        <v>3</v>
      </c>
      <c r="H94">
        <v>4</v>
      </c>
      <c r="I94">
        <v>5</v>
      </c>
      <c r="J94" s="11" t="s">
        <v>78</v>
      </c>
    </row>
    <row r="95" spans="1:10" ht="27.75" customHeight="1" x14ac:dyDescent="0.25">
      <c r="A95" t="s">
        <v>238</v>
      </c>
      <c r="B95" t="s">
        <v>73</v>
      </c>
      <c r="C95" t="s">
        <v>74</v>
      </c>
      <c r="D95">
        <v>3</v>
      </c>
      <c r="E95">
        <v>3</v>
      </c>
      <c r="F95">
        <v>4</v>
      </c>
      <c r="G95">
        <v>3</v>
      </c>
      <c r="H95">
        <v>3</v>
      </c>
      <c r="I95">
        <v>5</v>
      </c>
      <c r="J95" s="11" t="s">
        <v>239</v>
      </c>
    </row>
    <row r="96" spans="1:10" ht="15" customHeight="1" x14ac:dyDescent="0.25">
      <c r="A96" t="s">
        <v>240</v>
      </c>
      <c r="B96" t="s">
        <v>118</v>
      </c>
      <c r="C96" t="s">
        <v>88</v>
      </c>
      <c r="D96">
        <v>1</v>
      </c>
      <c r="E96">
        <v>2</v>
      </c>
      <c r="F96">
        <v>3</v>
      </c>
      <c r="G96">
        <v>2</v>
      </c>
      <c r="H96">
        <v>5</v>
      </c>
      <c r="I96">
        <v>6</v>
      </c>
      <c r="J96" s="11" t="s">
        <v>232</v>
      </c>
    </row>
    <row r="97" spans="1:10" ht="15" customHeight="1" x14ac:dyDescent="0.25">
      <c r="A97" t="s">
        <v>241</v>
      </c>
      <c r="B97" t="s">
        <v>82</v>
      </c>
      <c r="C97" t="s">
        <v>94</v>
      </c>
      <c r="D97">
        <v>2</v>
      </c>
      <c r="E97">
        <v>4</v>
      </c>
      <c r="F97">
        <v>2</v>
      </c>
      <c r="G97">
        <v>2</v>
      </c>
      <c r="H97">
        <v>1</v>
      </c>
      <c r="I97">
        <v>6</v>
      </c>
      <c r="J97" s="11" t="s">
        <v>119</v>
      </c>
    </row>
    <row r="98" spans="1:10" ht="15" customHeight="1" x14ac:dyDescent="0.25">
      <c r="A98" t="s">
        <v>242</v>
      </c>
      <c r="B98" t="s">
        <v>108</v>
      </c>
      <c r="C98" t="s">
        <v>88</v>
      </c>
      <c r="D98">
        <v>3</v>
      </c>
      <c r="E98">
        <v>4</v>
      </c>
      <c r="F98">
        <v>4</v>
      </c>
      <c r="G98">
        <v>3</v>
      </c>
      <c r="H98">
        <v>5</v>
      </c>
      <c r="I98">
        <v>7</v>
      </c>
      <c r="J98" s="11" t="s">
        <v>86</v>
      </c>
    </row>
    <row r="99" spans="1:10" ht="15" customHeight="1" x14ac:dyDescent="0.25">
      <c r="A99" t="s">
        <v>243</v>
      </c>
      <c r="B99" t="s">
        <v>73</v>
      </c>
      <c r="C99" t="s">
        <v>94</v>
      </c>
      <c r="D99">
        <v>3</v>
      </c>
      <c r="E99">
        <v>3</v>
      </c>
      <c r="F99">
        <v>4</v>
      </c>
      <c r="G99">
        <v>5</v>
      </c>
      <c r="H99">
        <v>4</v>
      </c>
      <c r="I99">
        <v>4</v>
      </c>
      <c r="J99" s="11" t="s">
        <v>172</v>
      </c>
    </row>
    <row r="100" spans="1:10" ht="15" customHeight="1" x14ac:dyDescent="0.25">
      <c r="A100" t="s">
        <v>244</v>
      </c>
      <c r="B100" t="s">
        <v>91</v>
      </c>
      <c r="C100" t="s">
        <v>85</v>
      </c>
      <c r="D100">
        <v>3</v>
      </c>
      <c r="E100">
        <v>3</v>
      </c>
      <c r="F100">
        <v>3</v>
      </c>
      <c r="G100">
        <v>4</v>
      </c>
      <c r="H100">
        <v>5</v>
      </c>
      <c r="I100">
        <v>3</v>
      </c>
      <c r="J100" s="11" t="s">
        <v>125</v>
      </c>
    </row>
    <row r="101" spans="1:10" ht="27.75" customHeight="1" x14ac:dyDescent="0.25">
      <c r="A101" t="s">
        <v>245</v>
      </c>
      <c r="B101" t="s">
        <v>77</v>
      </c>
      <c r="C101" t="s">
        <v>74</v>
      </c>
      <c r="D101">
        <v>3</v>
      </c>
      <c r="E101">
        <v>4</v>
      </c>
      <c r="F101">
        <v>4</v>
      </c>
      <c r="G101">
        <v>3</v>
      </c>
      <c r="H101">
        <v>4</v>
      </c>
      <c r="I101">
        <v>6</v>
      </c>
      <c r="J101" s="11" t="s">
        <v>246</v>
      </c>
    </row>
    <row r="102" spans="1:10" ht="15" customHeight="1" x14ac:dyDescent="0.25">
      <c r="A102" t="s">
        <v>247</v>
      </c>
      <c r="B102" t="s">
        <v>108</v>
      </c>
      <c r="C102" t="s">
        <v>94</v>
      </c>
      <c r="D102">
        <v>3</v>
      </c>
      <c r="E102">
        <v>3</v>
      </c>
      <c r="F102">
        <v>3</v>
      </c>
      <c r="G102">
        <v>3</v>
      </c>
      <c r="H102">
        <v>2</v>
      </c>
      <c r="I102">
        <v>5</v>
      </c>
      <c r="J102" s="11" t="s">
        <v>201</v>
      </c>
    </row>
    <row r="103" spans="1:10" ht="15" customHeight="1" x14ac:dyDescent="0.25">
      <c r="A103" t="s">
        <v>248</v>
      </c>
      <c r="B103" t="s">
        <v>82</v>
      </c>
      <c r="C103" t="s">
        <v>88</v>
      </c>
      <c r="D103">
        <v>3</v>
      </c>
      <c r="E103">
        <v>3</v>
      </c>
      <c r="F103">
        <v>3</v>
      </c>
      <c r="G103">
        <v>2</v>
      </c>
      <c r="H103">
        <v>3</v>
      </c>
      <c r="I103">
        <v>5</v>
      </c>
      <c r="J103" s="11" t="s">
        <v>119</v>
      </c>
    </row>
    <row r="104" spans="1:10" ht="15" customHeight="1" x14ac:dyDescent="0.25">
      <c r="A104" t="s">
        <v>249</v>
      </c>
      <c r="B104" t="s">
        <v>82</v>
      </c>
      <c r="C104" t="s">
        <v>74</v>
      </c>
      <c r="D104">
        <v>5</v>
      </c>
      <c r="E104">
        <v>4</v>
      </c>
      <c r="F104">
        <v>3</v>
      </c>
      <c r="G104">
        <v>3</v>
      </c>
      <c r="H104">
        <v>4</v>
      </c>
      <c r="I104">
        <v>8</v>
      </c>
      <c r="J104" s="11" t="s">
        <v>121</v>
      </c>
    </row>
    <row r="105" spans="1:10" ht="27.75" customHeight="1" x14ac:dyDescent="0.25">
      <c r="A105" t="s">
        <v>250</v>
      </c>
      <c r="B105" t="s">
        <v>118</v>
      </c>
      <c r="C105" t="s">
        <v>85</v>
      </c>
      <c r="D105">
        <v>3</v>
      </c>
      <c r="E105">
        <v>3</v>
      </c>
      <c r="F105">
        <v>3</v>
      </c>
      <c r="G105">
        <v>2</v>
      </c>
      <c r="H105">
        <v>3</v>
      </c>
      <c r="I105">
        <v>5</v>
      </c>
      <c r="J105" s="11" t="s">
        <v>251</v>
      </c>
    </row>
    <row r="106" spans="1:10" ht="27.75" customHeight="1" x14ac:dyDescent="0.25">
      <c r="A106" t="s">
        <v>252</v>
      </c>
      <c r="B106" t="s">
        <v>91</v>
      </c>
      <c r="C106" t="s">
        <v>74</v>
      </c>
      <c r="D106">
        <v>2</v>
      </c>
      <c r="E106">
        <v>3</v>
      </c>
      <c r="F106">
        <v>2</v>
      </c>
      <c r="G106">
        <v>3</v>
      </c>
      <c r="H106">
        <v>4</v>
      </c>
      <c r="I106">
        <v>4</v>
      </c>
      <c r="J106" s="11" t="s">
        <v>253</v>
      </c>
    </row>
    <row r="107" spans="1:10" ht="27.75" customHeight="1" x14ac:dyDescent="0.25">
      <c r="A107" t="s">
        <v>254</v>
      </c>
      <c r="B107" t="s">
        <v>91</v>
      </c>
      <c r="C107" t="s">
        <v>94</v>
      </c>
      <c r="D107">
        <v>4</v>
      </c>
      <c r="E107">
        <v>5</v>
      </c>
      <c r="F107">
        <v>3</v>
      </c>
      <c r="G107">
        <v>2</v>
      </c>
      <c r="H107">
        <v>3</v>
      </c>
      <c r="I107">
        <v>5</v>
      </c>
      <c r="J107" s="11" t="s">
        <v>255</v>
      </c>
    </row>
    <row r="108" spans="1:10" ht="27.75" customHeight="1" x14ac:dyDescent="0.25">
      <c r="A108" t="s">
        <v>256</v>
      </c>
      <c r="B108" t="s">
        <v>91</v>
      </c>
      <c r="C108" t="s">
        <v>85</v>
      </c>
      <c r="D108">
        <v>4</v>
      </c>
      <c r="E108">
        <v>3</v>
      </c>
      <c r="F108">
        <v>2</v>
      </c>
      <c r="G108">
        <v>4</v>
      </c>
      <c r="H108">
        <v>3</v>
      </c>
      <c r="I108">
        <v>6</v>
      </c>
      <c r="J108" s="11" t="s">
        <v>205</v>
      </c>
    </row>
    <row r="109" spans="1:10" ht="15" customHeight="1" x14ac:dyDescent="0.25">
      <c r="A109" t="s">
        <v>257</v>
      </c>
      <c r="B109" t="s">
        <v>108</v>
      </c>
      <c r="C109" t="s">
        <v>85</v>
      </c>
      <c r="D109">
        <v>2</v>
      </c>
      <c r="E109">
        <v>3</v>
      </c>
      <c r="F109">
        <v>2</v>
      </c>
      <c r="G109">
        <v>4</v>
      </c>
      <c r="H109">
        <v>3</v>
      </c>
      <c r="I109">
        <v>6</v>
      </c>
      <c r="J109" s="11" t="s">
        <v>258</v>
      </c>
    </row>
    <row r="110" spans="1:10" ht="15" customHeight="1" x14ac:dyDescent="0.25">
      <c r="A110" t="s">
        <v>259</v>
      </c>
      <c r="B110" t="s">
        <v>91</v>
      </c>
      <c r="C110" t="s">
        <v>74</v>
      </c>
      <c r="D110">
        <v>2</v>
      </c>
      <c r="E110">
        <v>2</v>
      </c>
      <c r="F110">
        <v>1</v>
      </c>
      <c r="G110">
        <v>3</v>
      </c>
      <c r="H110">
        <v>3</v>
      </c>
      <c r="I110">
        <v>5</v>
      </c>
      <c r="J110" s="11" t="s">
        <v>89</v>
      </c>
    </row>
    <row r="111" spans="1:10" ht="15" customHeight="1" x14ac:dyDescent="0.25">
      <c r="A111" t="s">
        <v>260</v>
      </c>
      <c r="B111" t="s">
        <v>73</v>
      </c>
      <c r="C111" t="s">
        <v>85</v>
      </c>
      <c r="D111">
        <v>4</v>
      </c>
      <c r="E111">
        <v>4</v>
      </c>
      <c r="F111">
        <v>3</v>
      </c>
      <c r="G111">
        <v>5</v>
      </c>
      <c r="H111">
        <v>4</v>
      </c>
      <c r="I111">
        <v>9</v>
      </c>
      <c r="J111" s="11" t="s">
        <v>261</v>
      </c>
    </row>
    <row r="112" spans="1:10" ht="27.75" customHeight="1" x14ac:dyDescent="0.25">
      <c r="A112" t="s">
        <v>262</v>
      </c>
      <c r="B112" t="s">
        <v>77</v>
      </c>
      <c r="C112" t="s">
        <v>88</v>
      </c>
      <c r="D112">
        <v>4</v>
      </c>
      <c r="E112">
        <v>4</v>
      </c>
      <c r="F112">
        <v>5</v>
      </c>
      <c r="G112">
        <v>4</v>
      </c>
      <c r="H112">
        <v>4</v>
      </c>
      <c r="I112">
        <v>10</v>
      </c>
      <c r="J112" s="11" t="s">
        <v>263</v>
      </c>
    </row>
    <row r="113" spans="1:10" ht="27.75" customHeight="1" x14ac:dyDescent="0.25">
      <c r="A113" t="s">
        <v>264</v>
      </c>
      <c r="B113" t="s">
        <v>118</v>
      </c>
      <c r="C113" t="s">
        <v>85</v>
      </c>
      <c r="D113">
        <v>5</v>
      </c>
      <c r="E113">
        <v>3</v>
      </c>
      <c r="F113">
        <v>3</v>
      </c>
      <c r="G113">
        <v>3</v>
      </c>
      <c r="H113">
        <v>5</v>
      </c>
      <c r="I113">
        <v>8</v>
      </c>
      <c r="J113" s="11" t="s">
        <v>265</v>
      </c>
    </row>
    <row r="114" spans="1:10" ht="27.75" customHeight="1" x14ac:dyDescent="0.25">
      <c r="A114" t="s">
        <v>266</v>
      </c>
      <c r="B114" t="s">
        <v>108</v>
      </c>
      <c r="C114" t="s">
        <v>88</v>
      </c>
      <c r="D114">
        <v>4</v>
      </c>
      <c r="E114">
        <v>3</v>
      </c>
      <c r="F114">
        <v>3</v>
      </c>
      <c r="G114">
        <v>2</v>
      </c>
      <c r="H114">
        <v>2</v>
      </c>
      <c r="I114">
        <v>3</v>
      </c>
      <c r="J114" s="11" t="s">
        <v>267</v>
      </c>
    </row>
    <row r="115" spans="1:10" ht="15" customHeight="1" x14ac:dyDescent="0.25">
      <c r="A115" t="s">
        <v>268</v>
      </c>
      <c r="B115" t="s">
        <v>91</v>
      </c>
      <c r="C115" t="s">
        <v>85</v>
      </c>
      <c r="D115">
        <v>2</v>
      </c>
      <c r="E115">
        <v>3</v>
      </c>
      <c r="F115">
        <v>2</v>
      </c>
      <c r="G115">
        <v>4</v>
      </c>
      <c r="H115">
        <v>3</v>
      </c>
      <c r="I115">
        <v>7</v>
      </c>
      <c r="J115" s="11" t="s">
        <v>232</v>
      </c>
    </row>
    <row r="116" spans="1:10" ht="27.75" customHeight="1" x14ac:dyDescent="0.25">
      <c r="A116" t="s">
        <v>269</v>
      </c>
      <c r="B116" t="s">
        <v>73</v>
      </c>
      <c r="C116" t="s">
        <v>74</v>
      </c>
      <c r="D116">
        <v>2</v>
      </c>
      <c r="E116">
        <v>3</v>
      </c>
      <c r="F116">
        <v>3</v>
      </c>
      <c r="G116">
        <v>3</v>
      </c>
      <c r="H116">
        <v>2</v>
      </c>
      <c r="I116">
        <v>4</v>
      </c>
      <c r="J116" s="11" t="s">
        <v>270</v>
      </c>
    </row>
    <row r="117" spans="1:10" ht="15" customHeight="1" x14ac:dyDescent="0.25">
      <c r="A117" t="s">
        <v>271</v>
      </c>
      <c r="B117" t="s">
        <v>108</v>
      </c>
      <c r="C117" t="s">
        <v>74</v>
      </c>
      <c r="D117">
        <v>3</v>
      </c>
      <c r="E117">
        <v>3</v>
      </c>
      <c r="F117">
        <v>3</v>
      </c>
      <c r="G117">
        <v>3</v>
      </c>
      <c r="H117">
        <v>2</v>
      </c>
      <c r="I117">
        <v>4</v>
      </c>
      <c r="J117" s="11" t="s">
        <v>201</v>
      </c>
    </row>
    <row r="118" spans="1:10" ht="27.75" customHeight="1" x14ac:dyDescent="0.25">
      <c r="A118" t="s">
        <v>272</v>
      </c>
      <c r="B118" t="s">
        <v>82</v>
      </c>
      <c r="C118" t="s">
        <v>85</v>
      </c>
      <c r="D118">
        <v>2</v>
      </c>
      <c r="E118">
        <v>3</v>
      </c>
      <c r="F118">
        <v>3</v>
      </c>
      <c r="G118">
        <v>2</v>
      </c>
      <c r="H118">
        <v>4</v>
      </c>
      <c r="I118">
        <v>4</v>
      </c>
      <c r="J118" s="11" t="s">
        <v>273</v>
      </c>
    </row>
    <row r="119" spans="1:10" ht="15" customHeight="1" x14ac:dyDescent="0.25">
      <c r="A119" t="s">
        <v>274</v>
      </c>
      <c r="B119" t="s">
        <v>82</v>
      </c>
      <c r="C119" t="s">
        <v>85</v>
      </c>
      <c r="D119">
        <v>4</v>
      </c>
      <c r="E119">
        <v>5</v>
      </c>
      <c r="F119">
        <v>3</v>
      </c>
      <c r="G119">
        <v>5</v>
      </c>
      <c r="H119">
        <v>3</v>
      </c>
      <c r="I119">
        <v>9</v>
      </c>
      <c r="J119" s="11" t="s">
        <v>86</v>
      </c>
    </row>
    <row r="120" spans="1:10" ht="27.75" customHeight="1" x14ac:dyDescent="0.25">
      <c r="A120" t="s">
        <v>275</v>
      </c>
      <c r="B120" t="s">
        <v>73</v>
      </c>
      <c r="C120" t="s">
        <v>88</v>
      </c>
      <c r="D120">
        <v>3</v>
      </c>
      <c r="E120">
        <v>4</v>
      </c>
      <c r="F120">
        <v>2</v>
      </c>
      <c r="G120">
        <v>3</v>
      </c>
      <c r="H120">
        <v>1</v>
      </c>
      <c r="I120">
        <v>2</v>
      </c>
      <c r="J120" s="11" t="s">
        <v>276</v>
      </c>
    </row>
    <row r="121" spans="1:10" ht="15" customHeight="1" x14ac:dyDescent="0.25">
      <c r="A121" t="s">
        <v>277</v>
      </c>
      <c r="B121" t="s">
        <v>73</v>
      </c>
      <c r="C121" t="s">
        <v>85</v>
      </c>
      <c r="D121">
        <v>3</v>
      </c>
      <c r="E121">
        <v>2</v>
      </c>
      <c r="F121">
        <v>3</v>
      </c>
      <c r="G121">
        <v>1</v>
      </c>
      <c r="H121">
        <v>3</v>
      </c>
      <c r="I121">
        <v>2</v>
      </c>
      <c r="J121" s="11" t="s">
        <v>119</v>
      </c>
    </row>
    <row r="122" spans="1:10" ht="27.75" customHeight="1" x14ac:dyDescent="0.25">
      <c r="A122" t="s">
        <v>278</v>
      </c>
      <c r="B122" t="s">
        <v>118</v>
      </c>
      <c r="C122" t="s">
        <v>94</v>
      </c>
      <c r="D122">
        <v>2</v>
      </c>
      <c r="E122">
        <v>3</v>
      </c>
      <c r="F122">
        <v>4</v>
      </c>
      <c r="G122">
        <v>3</v>
      </c>
      <c r="H122">
        <v>3</v>
      </c>
      <c r="I122">
        <v>7</v>
      </c>
      <c r="J122" s="11" t="s">
        <v>279</v>
      </c>
    </row>
    <row r="123" spans="1:10" ht="15" customHeight="1" x14ac:dyDescent="0.25">
      <c r="A123" t="s">
        <v>280</v>
      </c>
      <c r="B123" t="s">
        <v>91</v>
      </c>
      <c r="C123" t="s">
        <v>88</v>
      </c>
      <c r="D123">
        <v>1</v>
      </c>
      <c r="E123">
        <v>4</v>
      </c>
      <c r="F123">
        <v>2</v>
      </c>
      <c r="G123">
        <v>2</v>
      </c>
      <c r="H123">
        <v>2</v>
      </c>
      <c r="I123">
        <v>6</v>
      </c>
      <c r="J123" s="11" t="s">
        <v>111</v>
      </c>
    </row>
    <row r="124" spans="1:10" ht="15" customHeight="1" x14ac:dyDescent="0.25">
      <c r="A124" t="s">
        <v>281</v>
      </c>
      <c r="B124" t="s">
        <v>118</v>
      </c>
      <c r="C124" t="s">
        <v>85</v>
      </c>
      <c r="D124">
        <v>4</v>
      </c>
      <c r="E124">
        <v>4</v>
      </c>
      <c r="F124">
        <v>4</v>
      </c>
      <c r="G124">
        <v>4</v>
      </c>
      <c r="H124">
        <v>4</v>
      </c>
      <c r="I124">
        <v>8</v>
      </c>
      <c r="J124" s="11" t="s">
        <v>192</v>
      </c>
    </row>
    <row r="125" spans="1:10" ht="27.75" customHeight="1" x14ac:dyDescent="0.25">
      <c r="A125" t="s">
        <v>282</v>
      </c>
      <c r="B125" t="s">
        <v>91</v>
      </c>
      <c r="C125" t="s">
        <v>88</v>
      </c>
      <c r="D125">
        <v>3</v>
      </c>
      <c r="E125">
        <v>3</v>
      </c>
      <c r="F125">
        <v>2</v>
      </c>
      <c r="G125">
        <v>2</v>
      </c>
      <c r="H125">
        <v>3</v>
      </c>
      <c r="I125">
        <v>5</v>
      </c>
      <c r="J125" s="11" t="s">
        <v>283</v>
      </c>
    </row>
    <row r="126" spans="1:10" ht="15" customHeight="1" x14ac:dyDescent="0.25">
      <c r="A126" t="s">
        <v>284</v>
      </c>
      <c r="B126" t="s">
        <v>108</v>
      </c>
      <c r="C126" t="s">
        <v>85</v>
      </c>
      <c r="D126">
        <v>4</v>
      </c>
      <c r="E126">
        <v>5</v>
      </c>
      <c r="F126">
        <v>3</v>
      </c>
      <c r="G126">
        <v>4</v>
      </c>
      <c r="H126">
        <v>4</v>
      </c>
      <c r="I126">
        <v>7</v>
      </c>
      <c r="J126" s="11" t="s">
        <v>75</v>
      </c>
    </row>
    <row r="127" spans="1:10" ht="27.75" customHeight="1" x14ac:dyDescent="0.25">
      <c r="A127" t="s">
        <v>285</v>
      </c>
      <c r="B127" t="s">
        <v>82</v>
      </c>
      <c r="C127" t="s">
        <v>94</v>
      </c>
      <c r="D127">
        <v>4</v>
      </c>
      <c r="E127">
        <v>4</v>
      </c>
      <c r="F127">
        <v>4</v>
      </c>
      <c r="G127">
        <v>5</v>
      </c>
      <c r="H127">
        <v>4</v>
      </c>
      <c r="I127">
        <v>7</v>
      </c>
      <c r="J127" s="11" t="s">
        <v>286</v>
      </c>
    </row>
    <row r="128" spans="1:10" ht="15" customHeight="1" x14ac:dyDescent="0.25">
      <c r="A128" t="s">
        <v>287</v>
      </c>
      <c r="B128" t="s">
        <v>73</v>
      </c>
      <c r="C128" t="s">
        <v>88</v>
      </c>
      <c r="D128">
        <v>4</v>
      </c>
      <c r="E128">
        <v>3</v>
      </c>
      <c r="F128">
        <v>4</v>
      </c>
      <c r="G128">
        <v>3</v>
      </c>
      <c r="H128">
        <v>3</v>
      </c>
      <c r="I128">
        <v>9</v>
      </c>
      <c r="J128" s="11" t="s">
        <v>209</v>
      </c>
    </row>
    <row r="129" spans="1:10" ht="15" customHeight="1" x14ac:dyDescent="0.25">
      <c r="A129" t="s">
        <v>288</v>
      </c>
      <c r="B129" t="s">
        <v>91</v>
      </c>
      <c r="C129" t="s">
        <v>85</v>
      </c>
      <c r="D129">
        <v>4</v>
      </c>
      <c r="E129">
        <v>3</v>
      </c>
      <c r="F129">
        <v>4</v>
      </c>
      <c r="G129">
        <v>4</v>
      </c>
      <c r="H129">
        <v>3</v>
      </c>
      <c r="I129">
        <v>9</v>
      </c>
      <c r="J129" s="11" t="s">
        <v>121</v>
      </c>
    </row>
    <row r="130" spans="1:10" ht="27.75" customHeight="1" x14ac:dyDescent="0.25">
      <c r="A130" t="s">
        <v>289</v>
      </c>
      <c r="B130" t="s">
        <v>73</v>
      </c>
      <c r="C130" t="s">
        <v>94</v>
      </c>
      <c r="D130">
        <v>3</v>
      </c>
      <c r="E130">
        <v>2</v>
      </c>
      <c r="F130">
        <v>2</v>
      </c>
      <c r="G130">
        <v>2</v>
      </c>
      <c r="H130">
        <v>2</v>
      </c>
      <c r="I130">
        <v>5</v>
      </c>
      <c r="J130" s="11" t="s">
        <v>222</v>
      </c>
    </row>
    <row r="131" spans="1:10" ht="15" customHeight="1" x14ac:dyDescent="0.25">
      <c r="A131" t="s">
        <v>290</v>
      </c>
      <c r="B131" t="s">
        <v>82</v>
      </c>
      <c r="C131" t="s">
        <v>74</v>
      </c>
      <c r="D131">
        <v>4</v>
      </c>
      <c r="E131">
        <v>4</v>
      </c>
      <c r="F131">
        <v>4</v>
      </c>
      <c r="G131">
        <v>4</v>
      </c>
      <c r="H131">
        <v>5</v>
      </c>
      <c r="I131">
        <v>5</v>
      </c>
      <c r="J131" s="11" t="s">
        <v>75</v>
      </c>
    </row>
    <row r="132" spans="1:10" ht="15" customHeight="1" x14ac:dyDescent="0.25">
      <c r="A132" t="s">
        <v>291</v>
      </c>
      <c r="B132" t="s">
        <v>73</v>
      </c>
      <c r="C132" t="s">
        <v>88</v>
      </c>
      <c r="D132">
        <v>4</v>
      </c>
      <c r="E132">
        <v>4</v>
      </c>
      <c r="F132">
        <v>4</v>
      </c>
      <c r="G132">
        <v>4</v>
      </c>
      <c r="H132">
        <v>5</v>
      </c>
      <c r="I132">
        <v>9</v>
      </c>
      <c r="J132" s="11" t="s">
        <v>261</v>
      </c>
    </row>
    <row r="133" spans="1:10" ht="15" customHeight="1" x14ac:dyDescent="0.25">
      <c r="A133" t="s">
        <v>292</v>
      </c>
      <c r="B133" t="s">
        <v>82</v>
      </c>
      <c r="C133" t="s">
        <v>85</v>
      </c>
      <c r="D133">
        <v>2</v>
      </c>
      <c r="E133">
        <v>3</v>
      </c>
      <c r="F133">
        <v>4</v>
      </c>
      <c r="G133">
        <v>4</v>
      </c>
      <c r="H133">
        <v>4</v>
      </c>
      <c r="I133">
        <v>10</v>
      </c>
      <c r="J133" s="11" t="s">
        <v>293</v>
      </c>
    </row>
    <row r="134" spans="1:10" ht="15" customHeight="1" x14ac:dyDescent="0.25">
      <c r="A134" t="s">
        <v>294</v>
      </c>
      <c r="B134" t="s">
        <v>108</v>
      </c>
      <c r="C134" t="s">
        <v>85</v>
      </c>
      <c r="D134">
        <v>3</v>
      </c>
      <c r="E134">
        <v>1</v>
      </c>
      <c r="F134">
        <v>3</v>
      </c>
      <c r="G134">
        <v>3</v>
      </c>
      <c r="H134">
        <v>4</v>
      </c>
      <c r="I134">
        <v>4</v>
      </c>
      <c r="J134" s="11" t="s">
        <v>89</v>
      </c>
    </row>
    <row r="135" spans="1:10" ht="27.75" customHeight="1" x14ac:dyDescent="0.25">
      <c r="A135" t="s">
        <v>295</v>
      </c>
      <c r="B135" t="s">
        <v>82</v>
      </c>
      <c r="C135" t="s">
        <v>74</v>
      </c>
      <c r="D135">
        <v>2</v>
      </c>
      <c r="E135">
        <v>3</v>
      </c>
      <c r="F135">
        <v>4</v>
      </c>
      <c r="G135">
        <v>3</v>
      </c>
      <c r="H135">
        <v>3</v>
      </c>
      <c r="I135">
        <v>6</v>
      </c>
      <c r="J135" s="11" t="s">
        <v>296</v>
      </c>
    </row>
    <row r="136" spans="1:10" ht="27.75" customHeight="1" x14ac:dyDescent="0.25">
      <c r="A136" t="s">
        <v>297</v>
      </c>
      <c r="B136" t="s">
        <v>91</v>
      </c>
      <c r="C136" t="s">
        <v>74</v>
      </c>
      <c r="D136">
        <v>4</v>
      </c>
      <c r="E136">
        <v>3</v>
      </c>
      <c r="F136">
        <v>4</v>
      </c>
      <c r="G136">
        <v>4</v>
      </c>
      <c r="H136">
        <v>4</v>
      </c>
      <c r="I136">
        <v>9</v>
      </c>
      <c r="J136" s="11" t="s">
        <v>298</v>
      </c>
    </row>
    <row r="137" spans="1:10" ht="15" customHeight="1" x14ac:dyDescent="0.25">
      <c r="A137" t="s">
        <v>299</v>
      </c>
      <c r="B137" t="s">
        <v>108</v>
      </c>
      <c r="C137" t="s">
        <v>85</v>
      </c>
      <c r="D137">
        <v>3</v>
      </c>
      <c r="E137">
        <v>3</v>
      </c>
      <c r="F137">
        <v>2</v>
      </c>
      <c r="G137">
        <v>3</v>
      </c>
      <c r="H137">
        <v>4</v>
      </c>
      <c r="I137">
        <v>9</v>
      </c>
      <c r="J137" s="11" t="s">
        <v>300</v>
      </c>
    </row>
    <row r="138" spans="1:10" ht="15" customHeight="1" x14ac:dyDescent="0.25">
      <c r="A138" t="s">
        <v>301</v>
      </c>
      <c r="B138" t="s">
        <v>82</v>
      </c>
      <c r="C138" t="s">
        <v>94</v>
      </c>
      <c r="D138">
        <v>2</v>
      </c>
      <c r="E138">
        <v>2</v>
      </c>
      <c r="F138">
        <v>3</v>
      </c>
      <c r="G138">
        <v>4</v>
      </c>
      <c r="H138">
        <v>3</v>
      </c>
      <c r="I138">
        <v>5</v>
      </c>
      <c r="J138" s="11" t="s">
        <v>111</v>
      </c>
    </row>
    <row r="139" spans="1:10" ht="15" customHeight="1" x14ac:dyDescent="0.25">
      <c r="A139" t="s">
        <v>302</v>
      </c>
      <c r="B139" t="s">
        <v>91</v>
      </c>
      <c r="C139" t="s">
        <v>85</v>
      </c>
      <c r="D139">
        <v>4</v>
      </c>
      <c r="E139">
        <v>3</v>
      </c>
      <c r="F139">
        <v>3</v>
      </c>
      <c r="G139">
        <v>4</v>
      </c>
      <c r="H139">
        <v>5</v>
      </c>
      <c r="I139">
        <v>10</v>
      </c>
      <c r="J139" s="11" t="s">
        <v>121</v>
      </c>
    </row>
    <row r="140" spans="1:10" ht="27.75" customHeight="1" x14ac:dyDescent="0.25">
      <c r="A140" t="s">
        <v>303</v>
      </c>
      <c r="B140" t="s">
        <v>77</v>
      </c>
      <c r="C140" t="s">
        <v>88</v>
      </c>
      <c r="D140">
        <v>3</v>
      </c>
      <c r="E140">
        <v>3</v>
      </c>
      <c r="F140">
        <v>4</v>
      </c>
      <c r="G140">
        <v>4</v>
      </c>
      <c r="H140">
        <v>5</v>
      </c>
      <c r="I140">
        <v>9</v>
      </c>
      <c r="J140" s="11" t="s">
        <v>265</v>
      </c>
    </row>
    <row r="141" spans="1:10" ht="15" customHeight="1" x14ac:dyDescent="0.25">
      <c r="A141" t="s">
        <v>304</v>
      </c>
      <c r="B141" t="s">
        <v>82</v>
      </c>
      <c r="C141" t="s">
        <v>94</v>
      </c>
      <c r="D141">
        <v>3</v>
      </c>
      <c r="E141">
        <v>3</v>
      </c>
      <c r="F141">
        <v>3</v>
      </c>
      <c r="G141">
        <v>3</v>
      </c>
      <c r="H141">
        <v>2</v>
      </c>
      <c r="I141">
        <v>5</v>
      </c>
      <c r="J141" s="11" t="s">
        <v>101</v>
      </c>
    </row>
    <row r="142" spans="1:10" ht="27.75" customHeight="1" x14ac:dyDescent="0.25">
      <c r="A142" t="s">
        <v>305</v>
      </c>
      <c r="B142" t="s">
        <v>118</v>
      </c>
      <c r="C142" t="s">
        <v>88</v>
      </c>
      <c r="D142">
        <v>3</v>
      </c>
      <c r="E142">
        <v>2</v>
      </c>
      <c r="F142">
        <v>4</v>
      </c>
      <c r="G142">
        <v>4</v>
      </c>
      <c r="H142">
        <v>5</v>
      </c>
      <c r="I142">
        <v>4</v>
      </c>
      <c r="J142" s="11" t="s">
        <v>134</v>
      </c>
    </row>
    <row r="143" spans="1:10" ht="27.75" customHeight="1" x14ac:dyDescent="0.25">
      <c r="A143" t="s">
        <v>306</v>
      </c>
      <c r="B143" t="s">
        <v>108</v>
      </c>
      <c r="C143" t="s">
        <v>88</v>
      </c>
      <c r="D143">
        <v>5</v>
      </c>
      <c r="E143">
        <v>4</v>
      </c>
      <c r="F143">
        <v>4</v>
      </c>
      <c r="G143">
        <v>4</v>
      </c>
      <c r="H143">
        <v>5</v>
      </c>
      <c r="I143">
        <v>10</v>
      </c>
      <c r="J143" s="11" t="s">
        <v>307</v>
      </c>
    </row>
    <row r="144" spans="1:10" ht="15" customHeight="1" x14ac:dyDescent="0.25">
      <c r="A144" t="s">
        <v>308</v>
      </c>
      <c r="B144" t="s">
        <v>118</v>
      </c>
      <c r="C144" t="s">
        <v>74</v>
      </c>
      <c r="D144">
        <v>5</v>
      </c>
      <c r="E144">
        <v>3</v>
      </c>
      <c r="F144">
        <v>4</v>
      </c>
      <c r="G144">
        <v>3</v>
      </c>
      <c r="H144">
        <v>3</v>
      </c>
      <c r="I144">
        <v>10</v>
      </c>
      <c r="J144" s="11" t="s">
        <v>172</v>
      </c>
    </row>
    <row r="145" spans="1:10" ht="27.75" customHeight="1" x14ac:dyDescent="0.25">
      <c r="A145" t="s">
        <v>309</v>
      </c>
      <c r="B145" t="s">
        <v>82</v>
      </c>
      <c r="C145" t="s">
        <v>94</v>
      </c>
      <c r="D145">
        <v>2</v>
      </c>
      <c r="E145">
        <v>4</v>
      </c>
      <c r="F145">
        <v>3</v>
      </c>
      <c r="G145">
        <v>1</v>
      </c>
      <c r="H145">
        <v>4</v>
      </c>
      <c r="I145">
        <v>2</v>
      </c>
      <c r="J145" s="11" t="s">
        <v>310</v>
      </c>
    </row>
    <row r="146" spans="1:10" ht="15" customHeight="1" x14ac:dyDescent="0.25">
      <c r="A146" t="s">
        <v>311</v>
      </c>
      <c r="B146" t="s">
        <v>108</v>
      </c>
      <c r="C146" t="s">
        <v>74</v>
      </c>
      <c r="D146">
        <v>3</v>
      </c>
      <c r="E146">
        <v>3</v>
      </c>
      <c r="F146">
        <v>4</v>
      </c>
      <c r="G146">
        <v>3</v>
      </c>
      <c r="H146">
        <v>2</v>
      </c>
      <c r="I146">
        <v>3</v>
      </c>
      <c r="J146" s="11" t="s">
        <v>97</v>
      </c>
    </row>
    <row r="147" spans="1:10" ht="27.75" customHeight="1" x14ac:dyDescent="0.25">
      <c r="A147" t="s">
        <v>312</v>
      </c>
      <c r="B147" t="s">
        <v>118</v>
      </c>
      <c r="C147" t="s">
        <v>88</v>
      </c>
      <c r="D147">
        <v>4</v>
      </c>
      <c r="E147">
        <v>5</v>
      </c>
      <c r="F147">
        <v>4</v>
      </c>
      <c r="G147">
        <v>5</v>
      </c>
      <c r="H147">
        <v>5</v>
      </c>
      <c r="I147">
        <v>8</v>
      </c>
      <c r="J147" s="11" t="s">
        <v>199</v>
      </c>
    </row>
    <row r="148" spans="1:10" ht="15" customHeight="1" x14ac:dyDescent="0.25">
      <c r="A148" t="s">
        <v>313</v>
      </c>
      <c r="B148" t="s">
        <v>91</v>
      </c>
      <c r="C148" t="s">
        <v>85</v>
      </c>
      <c r="D148">
        <v>3</v>
      </c>
      <c r="E148">
        <v>3</v>
      </c>
      <c r="F148">
        <v>4</v>
      </c>
      <c r="G148">
        <v>4</v>
      </c>
      <c r="H148">
        <v>5</v>
      </c>
      <c r="I148">
        <v>9</v>
      </c>
      <c r="J148" s="11" t="s">
        <v>86</v>
      </c>
    </row>
    <row r="149" spans="1:10" ht="27.75" customHeight="1" x14ac:dyDescent="0.25">
      <c r="A149" t="s">
        <v>314</v>
      </c>
      <c r="B149" t="s">
        <v>108</v>
      </c>
      <c r="C149" t="s">
        <v>74</v>
      </c>
      <c r="D149">
        <v>3</v>
      </c>
      <c r="E149">
        <v>3</v>
      </c>
      <c r="F149">
        <v>3</v>
      </c>
      <c r="G149">
        <v>3</v>
      </c>
      <c r="H149">
        <v>4</v>
      </c>
      <c r="I149">
        <v>3</v>
      </c>
      <c r="J149" s="11" t="s">
        <v>315</v>
      </c>
    </row>
    <row r="150" spans="1:10" ht="15" customHeight="1" x14ac:dyDescent="0.25">
      <c r="A150" t="s">
        <v>316</v>
      </c>
      <c r="B150" t="s">
        <v>77</v>
      </c>
      <c r="C150" t="s">
        <v>88</v>
      </c>
      <c r="D150">
        <v>3</v>
      </c>
      <c r="E150">
        <v>2</v>
      </c>
      <c r="F150">
        <v>2</v>
      </c>
      <c r="G150">
        <v>3</v>
      </c>
      <c r="H150">
        <v>4</v>
      </c>
      <c r="I150">
        <v>6</v>
      </c>
      <c r="J150" s="11" t="s">
        <v>258</v>
      </c>
    </row>
    <row r="151" spans="1:10" ht="15" customHeight="1" x14ac:dyDescent="0.25">
      <c r="A151" t="s">
        <v>317</v>
      </c>
      <c r="B151" t="s">
        <v>73</v>
      </c>
      <c r="C151" t="s">
        <v>85</v>
      </c>
      <c r="D151">
        <v>3</v>
      </c>
      <c r="E151">
        <v>4</v>
      </c>
      <c r="F151">
        <v>5</v>
      </c>
      <c r="G151">
        <v>3</v>
      </c>
      <c r="H151">
        <v>5</v>
      </c>
      <c r="I151">
        <v>7</v>
      </c>
      <c r="J151" s="11" t="s">
        <v>318</v>
      </c>
    </row>
    <row r="152" spans="1:10" ht="15" customHeight="1" x14ac:dyDescent="0.25">
      <c r="A152" t="s">
        <v>319</v>
      </c>
      <c r="B152" t="s">
        <v>77</v>
      </c>
      <c r="C152" t="s">
        <v>88</v>
      </c>
      <c r="D152">
        <v>3</v>
      </c>
      <c r="E152">
        <v>4</v>
      </c>
      <c r="F152">
        <v>4</v>
      </c>
      <c r="G152">
        <v>3</v>
      </c>
      <c r="H152">
        <v>5</v>
      </c>
      <c r="I152">
        <v>9</v>
      </c>
      <c r="J152" s="11" t="s">
        <v>78</v>
      </c>
    </row>
    <row r="153" spans="1:10" ht="15" customHeight="1" x14ac:dyDescent="0.25">
      <c r="A153" t="s">
        <v>320</v>
      </c>
      <c r="B153" t="s">
        <v>108</v>
      </c>
      <c r="C153" t="s">
        <v>88</v>
      </c>
      <c r="D153">
        <v>4</v>
      </c>
      <c r="E153">
        <v>3</v>
      </c>
      <c r="F153">
        <v>3</v>
      </c>
      <c r="G153">
        <v>3</v>
      </c>
      <c r="H153">
        <v>3</v>
      </c>
      <c r="I153">
        <v>3</v>
      </c>
      <c r="J153" s="11" t="s">
        <v>232</v>
      </c>
    </row>
    <row r="154" spans="1:10" ht="15" customHeight="1" x14ac:dyDescent="0.25">
      <c r="A154" t="s">
        <v>321</v>
      </c>
      <c r="B154" t="s">
        <v>73</v>
      </c>
      <c r="C154" t="s">
        <v>94</v>
      </c>
      <c r="D154">
        <v>3</v>
      </c>
      <c r="E154">
        <v>2</v>
      </c>
      <c r="F154">
        <v>3</v>
      </c>
      <c r="G154">
        <v>4</v>
      </c>
      <c r="H154">
        <v>4</v>
      </c>
      <c r="I154">
        <v>6</v>
      </c>
      <c r="J154" s="11" t="s">
        <v>159</v>
      </c>
    </row>
    <row r="155" spans="1:10" ht="27.75" customHeight="1" x14ac:dyDescent="0.25">
      <c r="A155" t="s">
        <v>322</v>
      </c>
      <c r="B155" t="s">
        <v>118</v>
      </c>
      <c r="C155" t="s">
        <v>85</v>
      </c>
      <c r="D155">
        <v>5</v>
      </c>
      <c r="E155">
        <v>3</v>
      </c>
      <c r="F155">
        <v>5</v>
      </c>
      <c r="G155">
        <v>3</v>
      </c>
      <c r="H155">
        <v>5</v>
      </c>
      <c r="I155">
        <v>6</v>
      </c>
      <c r="J155" s="11" t="s">
        <v>323</v>
      </c>
    </row>
    <row r="156" spans="1:10" ht="15" customHeight="1" x14ac:dyDescent="0.25">
      <c r="A156" t="s">
        <v>324</v>
      </c>
      <c r="B156" t="s">
        <v>108</v>
      </c>
      <c r="C156" t="s">
        <v>94</v>
      </c>
      <c r="D156">
        <v>3</v>
      </c>
      <c r="E156">
        <v>2</v>
      </c>
      <c r="F156">
        <v>2</v>
      </c>
      <c r="G156">
        <v>1</v>
      </c>
      <c r="H156">
        <v>3</v>
      </c>
      <c r="I156">
        <v>2</v>
      </c>
      <c r="J156" s="11" t="s">
        <v>119</v>
      </c>
    </row>
    <row r="157" spans="1:10" ht="27.75" customHeight="1" x14ac:dyDescent="0.25">
      <c r="A157" t="s">
        <v>325</v>
      </c>
      <c r="B157" t="s">
        <v>73</v>
      </c>
      <c r="C157" t="s">
        <v>94</v>
      </c>
      <c r="D157">
        <v>3</v>
      </c>
      <c r="E157">
        <v>3</v>
      </c>
      <c r="F157">
        <v>2</v>
      </c>
      <c r="G157">
        <v>3</v>
      </c>
      <c r="H157">
        <v>4</v>
      </c>
      <c r="I157">
        <v>7</v>
      </c>
      <c r="J157" s="11" t="s">
        <v>315</v>
      </c>
    </row>
    <row r="158" spans="1:10" ht="15" customHeight="1" x14ac:dyDescent="0.25">
      <c r="A158" t="s">
        <v>326</v>
      </c>
      <c r="B158" t="s">
        <v>73</v>
      </c>
      <c r="C158" t="s">
        <v>94</v>
      </c>
      <c r="D158">
        <v>4</v>
      </c>
      <c r="E158">
        <v>3</v>
      </c>
      <c r="F158">
        <v>3</v>
      </c>
      <c r="G158">
        <v>5</v>
      </c>
      <c r="H158">
        <v>2</v>
      </c>
      <c r="I158">
        <v>7</v>
      </c>
      <c r="J158" s="11" t="s">
        <v>192</v>
      </c>
    </row>
    <row r="159" spans="1:10" ht="27.75" customHeight="1" x14ac:dyDescent="0.25">
      <c r="A159" t="s">
        <v>327</v>
      </c>
      <c r="B159" t="s">
        <v>91</v>
      </c>
      <c r="C159" t="s">
        <v>94</v>
      </c>
      <c r="D159">
        <v>3</v>
      </c>
      <c r="E159">
        <v>2</v>
      </c>
      <c r="F159">
        <v>2</v>
      </c>
      <c r="G159">
        <v>1</v>
      </c>
      <c r="H159">
        <v>3</v>
      </c>
      <c r="I159">
        <v>6</v>
      </c>
      <c r="J159" s="11" t="s">
        <v>328</v>
      </c>
    </row>
    <row r="160" spans="1:10" ht="15" customHeight="1" x14ac:dyDescent="0.25">
      <c r="A160" t="s">
        <v>329</v>
      </c>
      <c r="B160" t="s">
        <v>91</v>
      </c>
      <c r="C160" t="s">
        <v>88</v>
      </c>
      <c r="D160">
        <v>4</v>
      </c>
      <c r="E160">
        <v>4</v>
      </c>
      <c r="F160">
        <v>3</v>
      </c>
      <c r="G160">
        <v>4</v>
      </c>
      <c r="H160">
        <v>4</v>
      </c>
      <c r="I160">
        <v>7</v>
      </c>
      <c r="J160" s="11" t="s">
        <v>78</v>
      </c>
    </row>
    <row r="161" spans="1:10" ht="15" customHeight="1" x14ac:dyDescent="0.25">
      <c r="A161" t="s">
        <v>330</v>
      </c>
      <c r="B161" t="s">
        <v>82</v>
      </c>
      <c r="C161" t="s">
        <v>85</v>
      </c>
      <c r="D161">
        <v>2</v>
      </c>
      <c r="E161">
        <v>4</v>
      </c>
      <c r="F161">
        <v>3</v>
      </c>
      <c r="G161">
        <v>3</v>
      </c>
      <c r="H161">
        <v>3</v>
      </c>
      <c r="I161">
        <v>5</v>
      </c>
      <c r="J161" s="11" t="s">
        <v>97</v>
      </c>
    </row>
    <row r="162" spans="1:10" ht="27.75" customHeight="1" x14ac:dyDescent="0.25">
      <c r="A162" t="s">
        <v>331</v>
      </c>
      <c r="B162" t="s">
        <v>108</v>
      </c>
      <c r="C162" t="s">
        <v>88</v>
      </c>
      <c r="D162">
        <v>3</v>
      </c>
      <c r="E162">
        <v>4</v>
      </c>
      <c r="F162">
        <v>3</v>
      </c>
      <c r="G162">
        <v>4</v>
      </c>
      <c r="H162">
        <v>5</v>
      </c>
      <c r="I162">
        <v>7</v>
      </c>
      <c r="J162" s="11" t="s">
        <v>131</v>
      </c>
    </row>
    <row r="163" spans="1:10" ht="27.75" customHeight="1" x14ac:dyDescent="0.25">
      <c r="A163" t="s">
        <v>332</v>
      </c>
      <c r="B163" t="s">
        <v>118</v>
      </c>
      <c r="C163" t="s">
        <v>94</v>
      </c>
      <c r="D163">
        <v>3</v>
      </c>
      <c r="E163">
        <v>2</v>
      </c>
      <c r="F163">
        <v>2</v>
      </c>
      <c r="G163">
        <v>3</v>
      </c>
      <c r="H163">
        <v>4</v>
      </c>
      <c r="I163">
        <v>5</v>
      </c>
      <c r="J163" s="11" t="s">
        <v>333</v>
      </c>
    </row>
    <row r="164" spans="1:10" ht="27.75" customHeight="1" x14ac:dyDescent="0.25">
      <c r="A164" t="s">
        <v>334</v>
      </c>
      <c r="B164" t="s">
        <v>118</v>
      </c>
      <c r="C164" t="s">
        <v>94</v>
      </c>
      <c r="D164">
        <v>1</v>
      </c>
      <c r="E164">
        <v>3</v>
      </c>
      <c r="F164">
        <v>4</v>
      </c>
      <c r="G164">
        <v>4</v>
      </c>
      <c r="H164">
        <v>3</v>
      </c>
      <c r="I164">
        <v>8</v>
      </c>
      <c r="J164" s="11" t="s">
        <v>273</v>
      </c>
    </row>
    <row r="165" spans="1:10" ht="15" customHeight="1" x14ac:dyDescent="0.25">
      <c r="A165" t="s">
        <v>335</v>
      </c>
      <c r="B165" t="s">
        <v>73</v>
      </c>
      <c r="C165" t="s">
        <v>88</v>
      </c>
      <c r="D165">
        <v>5</v>
      </c>
      <c r="E165">
        <v>3</v>
      </c>
      <c r="F165">
        <v>5</v>
      </c>
      <c r="G165">
        <v>3</v>
      </c>
      <c r="H165">
        <v>3</v>
      </c>
      <c r="I165">
        <v>8</v>
      </c>
      <c r="J165" s="11" t="s">
        <v>336</v>
      </c>
    </row>
    <row r="166" spans="1:10" ht="15" customHeight="1" x14ac:dyDescent="0.25">
      <c r="A166" t="s">
        <v>337</v>
      </c>
      <c r="B166" t="s">
        <v>118</v>
      </c>
      <c r="C166" t="s">
        <v>88</v>
      </c>
      <c r="D166">
        <v>3</v>
      </c>
      <c r="E166">
        <v>2</v>
      </c>
      <c r="F166">
        <v>2</v>
      </c>
      <c r="G166">
        <v>3</v>
      </c>
      <c r="H166">
        <v>3</v>
      </c>
      <c r="I166">
        <v>3</v>
      </c>
      <c r="J166" s="11" t="s">
        <v>258</v>
      </c>
    </row>
    <row r="167" spans="1:10" ht="27.75" customHeight="1" x14ac:dyDescent="0.25">
      <c r="A167" t="s">
        <v>338</v>
      </c>
      <c r="B167" t="s">
        <v>77</v>
      </c>
      <c r="C167" t="s">
        <v>74</v>
      </c>
      <c r="D167">
        <v>3</v>
      </c>
      <c r="E167">
        <v>5</v>
      </c>
      <c r="F167">
        <v>4</v>
      </c>
      <c r="G167">
        <v>4</v>
      </c>
      <c r="H167">
        <v>3</v>
      </c>
      <c r="I167">
        <v>7</v>
      </c>
      <c r="J167" s="11" t="s">
        <v>339</v>
      </c>
    </row>
    <row r="168" spans="1:10" ht="27.75" customHeight="1" x14ac:dyDescent="0.25">
      <c r="A168" t="s">
        <v>340</v>
      </c>
      <c r="B168" t="s">
        <v>118</v>
      </c>
      <c r="C168" t="s">
        <v>88</v>
      </c>
      <c r="D168">
        <v>3</v>
      </c>
      <c r="E168">
        <v>4</v>
      </c>
      <c r="F168">
        <v>2</v>
      </c>
      <c r="G168">
        <v>2</v>
      </c>
      <c r="H168">
        <v>4</v>
      </c>
      <c r="I168">
        <v>3</v>
      </c>
      <c r="J168" s="11" t="s">
        <v>95</v>
      </c>
    </row>
    <row r="169" spans="1:10" ht="27.75" customHeight="1" x14ac:dyDescent="0.25">
      <c r="A169" t="s">
        <v>341</v>
      </c>
      <c r="B169" t="s">
        <v>118</v>
      </c>
      <c r="C169" t="s">
        <v>88</v>
      </c>
      <c r="D169">
        <v>4</v>
      </c>
      <c r="E169">
        <v>3</v>
      </c>
      <c r="F169">
        <v>2</v>
      </c>
      <c r="G169">
        <v>3</v>
      </c>
      <c r="H169">
        <v>4</v>
      </c>
      <c r="I169">
        <v>4</v>
      </c>
      <c r="J169" s="11" t="s">
        <v>342</v>
      </c>
    </row>
    <row r="170" spans="1:10" ht="15" customHeight="1" x14ac:dyDescent="0.25">
      <c r="A170" t="s">
        <v>343</v>
      </c>
      <c r="B170" t="s">
        <v>82</v>
      </c>
      <c r="C170" t="s">
        <v>88</v>
      </c>
      <c r="D170">
        <v>3</v>
      </c>
      <c r="E170">
        <v>4</v>
      </c>
      <c r="F170">
        <v>4</v>
      </c>
      <c r="G170">
        <v>5</v>
      </c>
      <c r="H170">
        <v>4</v>
      </c>
      <c r="I170">
        <v>4</v>
      </c>
      <c r="J170" s="11" t="s">
        <v>344</v>
      </c>
    </row>
    <row r="171" spans="1:10" ht="27.75" customHeight="1" x14ac:dyDescent="0.25">
      <c r="A171" t="s">
        <v>345</v>
      </c>
      <c r="B171" t="s">
        <v>108</v>
      </c>
      <c r="C171" t="s">
        <v>94</v>
      </c>
      <c r="D171">
        <v>3</v>
      </c>
      <c r="E171">
        <v>3</v>
      </c>
      <c r="F171">
        <v>2</v>
      </c>
      <c r="G171">
        <v>3</v>
      </c>
      <c r="H171">
        <v>3</v>
      </c>
      <c r="I171">
        <v>1</v>
      </c>
      <c r="J171" s="11" t="s">
        <v>255</v>
      </c>
    </row>
    <row r="172" spans="1:10" ht="15" customHeight="1" x14ac:dyDescent="0.25">
      <c r="A172" t="s">
        <v>346</v>
      </c>
      <c r="B172" t="s">
        <v>91</v>
      </c>
      <c r="C172" t="s">
        <v>74</v>
      </c>
      <c r="D172">
        <v>4</v>
      </c>
      <c r="E172">
        <v>4</v>
      </c>
      <c r="F172">
        <v>4</v>
      </c>
      <c r="G172">
        <v>3</v>
      </c>
      <c r="H172">
        <v>4</v>
      </c>
      <c r="I172">
        <v>7</v>
      </c>
      <c r="J172" s="11" t="s">
        <v>125</v>
      </c>
    </row>
    <row r="173" spans="1:10" ht="15" customHeight="1" x14ac:dyDescent="0.25">
      <c r="A173" t="s">
        <v>347</v>
      </c>
      <c r="B173" t="s">
        <v>108</v>
      </c>
      <c r="C173" t="s">
        <v>94</v>
      </c>
      <c r="D173">
        <v>2</v>
      </c>
      <c r="E173">
        <v>5</v>
      </c>
      <c r="F173">
        <v>4</v>
      </c>
      <c r="G173">
        <v>4</v>
      </c>
      <c r="H173">
        <v>5</v>
      </c>
      <c r="I173">
        <v>10</v>
      </c>
      <c r="J173" s="11" t="s">
        <v>75</v>
      </c>
    </row>
    <row r="174" spans="1:10" ht="15" customHeight="1" x14ac:dyDescent="0.25">
      <c r="A174" t="s">
        <v>348</v>
      </c>
      <c r="B174" t="s">
        <v>77</v>
      </c>
      <c r="C174" t="s">
        <v>88</v>
      </c>
      <c r="D174">
        <v>4</v>
      </c>
      <c r="E174">
        <v>4</v>
      </c>
      <c r="F174">
        <v>3</v>
      </c>
      <c r="G174">
        <v>4</v>
      </c>
      <c r="H174">
        <v>2</v>
      </c>
      <c r="I174">
        <v>4</v>
      </c>
      <c r="J174" s="11" t="s">
        <v>101</v>
      </c>
    </row>
    <row r="175" spans="1:10" ht="15" customHeight="1" x14ac:dyDescent="0.25">
      <c r="A175" t="s">
        <v>349</v>
      </c>
      <c r="B175" t="s">
        <v>108</v>
      </c>
      <c r="C175" t="s">
        <v>74</v>
      </c>
      <c r="D175">
        <v>4</v>
      </c>
      <c r="E175">
        <v>2</v>
      </c>
      <c r="F175">
        <v>3</v>
      </c>
      <c r="G175">
        <v>3</v>
      </c>
      <c r="H175">
        <v>2</v>
      </c>
      <c r="I175">
        <v>3</v>
      </c>
      <c r="J175" s="11" t="s">
        <v>89</v>
      </c>
    </row>
    <row r="176" spans="1:10" ht="15" customHeight="1" x14ac:dyDescent="0.25">
      <c r="A176" t="s">
        <v>350</v>
      </c>
      <c r="B176" t="s">
        <v>118</v>
      </c>
      <c r="C176" t="s">
        <v>88</v>
      </c>
      <c r="D176">
        <v>4</v>
      </c>
      <c r="E176">
        <v>2</v>
      </c>
      <c r="F176">
        <v>3</v>
      </c>
      <c r="G176">
        <v>4</v>
      </c>
      <c r="H176">
        <v>3</v>
      </c>
      <c r="I176">
        <v>4</v>
      </c>
      <c r="J176" s="11" t="s">
        <v>141</v>
      </c>
    </row>
    <row r="177" spans="1:10" ht="27.75" customHeight="1" x14ac:dyDescent="0.25">
      <c r="A177" t="s">
        <v>351</v>
      </c>
      <c r="B177" t="s">
        <v>91</v>
      </c>
      <c r="C177" t="s">
        <v>94</v>
      </c>
      <c r="D177">
        <v>4</v>
      </c>
      <c r="E177">
        <v>3</v>
      </c>
      <c r="F177">
        <v>5</v>
      </c>
      <c r="G177">
        <v>3</v>
      </c>
      <c r="H177">
        <v>5</v>
      </c>
      <c r="I177">
        <v>10</v>
      </c>
      <c r="J177" s="11" t="s">
        <v>144</v>
      </c>
    </row>
    <row r="178" spans="1:10" ht="15" customHeight="1" x14ac:dyDescent="0.25">
      <c r="A178" t="s">
        <v>352</v>
      </c>
      <c r="B178" t="s">
        <v>108</v>
      </c>
      <c r="C178" t="s">
        <v>85</v>
      </c>
      <c r="D178">
        <v>3</v>
      </c>
      <c r="E178">
        <v>2</v>
      </c>
      <c r="F178">
        <v>4</v>
      </c>
      <c r="G178">
        <v>4</v>
      </c>
      <c r="H178">
        <v>4</v>
      </c>
      <c r="I178">
        <v>7</v>
      </c>
      <c r="J178" s="11" t="s">
        <v>172</v>
      </c>
    </row>
    <row r="179" spans="1:10" ht="15" customHeight="1" x14ac:dyDescent="0.25">
      <c r="A179" t="s">
        <v>353</v>
      </c>
      <c r="B179" t="s">
        <v>77</v>
      </c>
      <c r="C179" t="s">
        <v>88</v>
      </c>
      <c r="D179">
        <v>2</v>
      </c>
      <c r="E179">
        <v>3</v>
      </c>
      <c r="F179">
        <v>4</v>
      </c>
      <c r="G179">
        <v>2</v>
      </c>
      <c r="H179">
        <v>4</v>
      </c>
      <c r="I179">
        <v>5</v>
      </c>
      <c r="J179" s="11" t="s">
        <v>354</v>
      </c>
    </row>
    <row r="180" spans="1:10" ht="15" customHeight="1" x14ac:dyDescent="0.25">
      <c r="A180" t="s">
        <v>355</v>
      </c>
      <c r="B180" t="s">
        <v>82</v>
      </c>
      <c r="C180" t="s">
        <v>88</v>
      </c>
      <c r="D180">
        <v>3</v>
      </c>
      <c r="E180">
        <v>3</v>
      </c>
      <c r="F180">
        <v>3</v>
      </c>
      <c r="G180">
        <v>2</v>
      </c>
      <c r="H180">
        <v>3</v>
      </c>
      <c r="I180">
        <v>2</v>
      </c>
      <c r="J180" s="11" t="s">
        <v>356</v>
      </c>
    </row>
    <row r="181" spans="1:10" ht="27.75" customHeight="1" x14ac:dyDescent="0.25">
      <c r="A181" t="s">
        <v>357</v>
      </c>
      <c r="B181" t="s">
        <v>108</v>
      </c>
      <c r="C181" t="s">
        <v>74</v>
      </c>
      <c r="D181">
        <v>4</v>
      </c>
      <c r="E181">
        <v>3</v>
      </c>
      <c r="F181">
        <v>2</v>
      </c>
      <c r="G181">
        <v>3</v>
      </c>
      <c r="H181">
        <v>4</v>
      </c>
      <c r="I181">
        <v>3</v>
      </c>
      <c r="J181" s="11" t="s">
        <v>358</v>
      </c>
    </row>
    <row r="182" spans="1:10" ht="15" customHeight="1" x14ac:dyDescent="0.25">
      <c r="A182" t="s">
        <v>359</v>
      </c>
      <c r="B182" t="s">
        <v>108</v>
      </c>
      <c r="C182" t="s">
        <v>94</v>
      </c>
      <c r="D182">
        <v>2</v>
      </c>
      <c r="E182">
        <v>4</v>
      </c>
      <c r="F182">
        <v>3</v>
      </c>
      <c r="G182">
        <v>4</v>
      </c>
      <c r="H182">
        <v>3</v>
      </c>
      <c r="I182">
        <v>5</v>
      </c>
      <c r="J182" s="11" t="s">
        <v>101</v>
      </c>
    </row>
    <row r="183" spans="1:10" ht="15" customHeight="1" x14ac:dyDescent="0.25">
      <c r="A183" t="s">
        <v>360</v>
      </c>
      <c r="B183" t="s">
        <v>77</v>
      </c>
      <c r="C183" t="s">
        <v>85</v>
      </c>
      <c r="D183">
        <v>1</v>
      </c>
      <c r="E183">
        <v>3</v>
      </c>
      <c r="F183">
        <v>2</v>
      </c>
      <c r="G183">
        <v>4</v>
      </c>
      <c r="H183">
        <v>3</v>
      </c>
      <c r="I183">
        <v>4</v>
      </c>
      <c r="J183" s="11" t="s">
        <v>111</v>
      </c>
    </row>
    <row r="184" spans="1:10" ht="27.75" customHeight="1" x14ac:dyDescent="0.25">
      <c r="A184" t="s">
        <v>361</v>
      </c>
      <c r="B184" t="s">
        <v>108</v>
      </c>
      <c r="C184" t="s">
        <v>94</v>
      </c>
      <c r="D184">
        <v>4</v>
      </c>
      <c r="E184">
        <v>3</v>
      </c>
      <c r="F184">
        <v>3</v>
      </c>
      <c r="G184">
        <v>2</v>
      </c>
      <c r="H184">
        <v>1</v>
      </c>
      <c r="I184">
        <v>5</v>
      </c>
      <c r="J184" s="11" t="s">
        <v>362</v>
      </c>
    </row>
    <row r="185" spans="1:10" ht="27.75" customHeight="1" x14ac:dyDescent="0.25">
      <c r="A185" t="s">
        <v>363</v>
      </c>
      <c r="B185" t="s">
        <v>77</v>
      </c>
      <c r="C185" t="s">
        <v>74</v>
      </c>
      <c r="D185">
        <v>4</v>
      </c>
      <c r="E185">
        <v>3</v>
      </c>
      <c r="F185">
        <v>3</v>
      </c>
      <c r="G185">
        <v>2</v>
      </c>
      <c r="H185">
        <v>2</v>
      </c>
      <c r="I185">
        <v>7</v>
      </c>
      <c r="J185" s="11" t="s">
        <v>279</v>
      </c>
    </row>
    <row r="186" spans="1:10" ht="15" customHeight="1" x14ac:dyDescent="0.25">
      <c r="A186" t="s">
        <v>364</v>
      </c>
      <c r="B186" t="s">
        <v>91</v>
      </c>
      <c r="C186" t="s">
        <v>74</v>
      </c>
      <c r="D186">
        <v>4</v>
      </c>
      <c r="E186">
        <v>4</v>
      </c>
      <c r="F186">
        <v>4</v>
      </c>
      <c r="G186">
        <v>4</v>
      </c>
      <c r="H186">
        <v>3</v>
      </c>
      <c r="I186">
        <v>6</v>
      </c>
      <c r="J186" s="11" t="s">
        <v>365</v>
      </c>
    </row>
    <row r="187" spans="1:10" ht="15" customHeight="1" x14ac:dyDescent="0.25">
      <c r="A187" t="s">
        <v>366</v>
      </c>
      <c r="B187" t="s">
        <v>108</v>
      </c>
      <c r="C187" t="s">
        <v>94</v>
      </c>
      <c r="D187">
        <v>2</v>
      </c>
      <c r="E187">
        <v>4</v>
      </c>
      <c r="F187">
        <v>3</v>
      </c>
      <c r="G187">
        <v>4</v>
      </c>
      <c r="H187">
        <v>4</v>
      </c>
      <c r="I187">
        <v>10</v>
      </c>
      <c r="J187" s="11" t="s">
        <v>344</v>
      </c>
    </row>
    <row r="188" spans="1:10" ht="15" customHeight="1" x14ac:dyDescent="0.25">
      <c r="A188" t="s">
        <v>367</v>
      </c>
      <c r="B188" t="s">
        <v>91</v>
      </c>
      <c r="C188" t="s">
        <v>85</v>
      </c>
      <c r="D188">
        <v>4</v>
      </c>
      <c r="E188">
        <v>4</v>
      </c>
      <c r="F188">
        <v>5</v>
      </c>
      <c r="G188">
        <v>4</v>
      </c>
      <c r="H188">
        <v>4</v>
      </c>
      <c r="I188">
        <v>7</v>
      </c>
      <c r="J188" s="11" t="s">
        <v>209</v>
      </c>
    </row>
    <row r="189" spans="1:10" ht="27.75" customHeight="1" x14ac:dyDescent="0.25">
      <c r="A189" t="s">
        <v>368</v>
      </c>
      <c r="B189" t="s">
        <v>73</v>
      </c>
      <c r="C189" t="s">
        <v>88</v>
      </c>
      <c r="D189">
        <v>1</v>
      </c>
      <c r="E189">
        <v>2</v>
      </c>
      <c r="F189">
        <v>1</v>
      </c>
      <c r="G189">
        <v>3</v>
      </c>
      <c r="H189">
        <v>2</v>
      </c>
      <c r="I189">
        <v>6</v>
      </c>
      <c r="J189" s="11" t="s">
        <v>219</v>
      </c>
    </row>
    <row r="190" spans="1:10" ht="27.75" customHeight="1" x14ac:dyDescent="0.25">
      <c r="A190" t="s">
        <v>369</v>
      </c>
      <c r="B190" t="s">
        <v>91</v>
      </c>
      <c r="C190" t="s">
        <v>88</v>
      </c>
      <c r="D190">
        <v>2</v>
      </c>
      <c r="E190">
        <v>3</v>
      </c>
      <c r="F190">
        <v>3</v>
      </c>
      <c r="G190">
        <v>2</v>
      </c>
      <c r="H190">
        <v>3</v>
      </c>
      <c r="I190">
        <v>5</v>
      </c>
      <c r="J190" s="11" t="s">
        <v>370</v>
      </c>
    </row>
    <row r="191" spans="1:10" ht="15" customHeight="1" x14ac:dyDescent="0.25">
      <c r="A191" t="s">
        <v>371</v>
      </c>
      <c r="B191" t="s">
        <v>108</v>
      </c>
      <c r="C191" t="s">
        <v>88</v>
      </c>
      <c r="D191">
        <v>2</v>
      </c>
      <c r="E191">
        <v>5</v>
      </c>
      <c r="F191">
        <v>3</v>
      </c>
      <c r="G191">
        <v>3</v>
      </c>
      <c r="H191">
        <v>4</v>
      </c>
      <c r="I191">
        <v>7</v>
      </c>
      <c r="J191" s="11" t="s">
        <v>372</v>
      </c>
    </row>
    <row r="192" spans="1:10" ht="15" customHeight="1" x14ac:dyDescent="0.25">
      <c r="A192" t="s">
        <v>373</v>
      </c>
      <c r="B192" t="s">
        <v>118</v>
      </c>
      <c r="C192" t="s">
        <v>94</v>
      </c>
      <c r="D192">
        <v>3</v>
      </c>
      <c r="E192">
        <v>5</v>
      </c>
      <c r="F192">
        <v>5</v>
      </c>
      <c r="G192">
        <v>4</v>
      </c>
      <c r="H192">
        <v>3</v>
      </c>
      <c r="I192">
        <v>6</v>
      </c>
      <c r="J192" s="11" t="s">
        <v>372</v>
      </c>
    </row>
    <row r="193" spans="1:10" ht="27.75" customHeight="1" x14ac:dyDescent="0.25">
      <c r="A193" t="s">
        <v>374</v>
      </c>
      <c r="B193" t="s">
        <v>77</v>
      </c>
      <c r="C193" t="s">
        <v>74</v>
      </c>
      <c r="D193">
        <v>4</v>
      </c>
      <c r="E193">
        <v>3</v>
      </c>
      <c r="F193">
        <v>3</v>
      </c>
      <c r="G193">
        <v>4</v>
      </c>
      <c r="H193">
        <v>4</v>
      </c>
      <c r="I193">
        <v>7</v>
      </c>
      <c r="J193" s="11" t="s">
        <v>375</v>
      </c>
    </row>
    <row r="194" spans="1:10" ht="15" customHeight="1" x14ac:dyDescent="0.25">
      <c r="A194" t="s">
        <v>376</v>
      </c>
      <c r="B194" t="s">
        <v>118</v>
      </c>
      <c r="C194" t="s">
        <v>88</v>
      </c>
      <c r="D194">
        <v>3</v>
      </c>
      <c r="E194">
        <v>4</v>
      </c>
      <c r="F194">
        <v>1</v>
      </c>
      <c r="G194">
        <v>4</v>
      </c>
      <c r="H194">
        <v>3</v>
      </c>
      <c r="I194">
        <v>4</v>
      </c>
      <c r="J194" s="11" t="s">
        <v>232</v>
      </c>
    </row>
    <row r="195" spans="1:10" ht="15" customHeight="1" x14ac:dyDescent="0.25">
      <c r="A195" t="s">
        <v>377</v>
      </c>
      <c r="B195" t="s">
        <v>91</v>
      </c>
      <c r="C195" t="s">
        <v>88</v>
      </c>
      <c r="D195">
        <v>3</v>
      </c>
      <c r="E195">
        <v>4</v>
      </c>
      <c r="F195">
        <v>4</v>
      </c>
      <c r="G195">
        <v>5</v>
      </c>
      <c r="H195">
        <v>5</v>
      </c>
      <c r="I195">
        <v>10</v>
      </c>
      <c r="J195" s="11" t="s">
        <v>261</v>
      </c>
    </row>
    <row r="196" spans="1:10" ht="15" customHeight="1" x14ac:dyDescent="0.25">
      <c r="A196" t="s">
        <v>378</v>
      </c>
      <c r="B196" t="s">
        <v>82</v>
      </c>
      <c r="C196" t="s">
        <v>74</v>
      </c>
      <c r="D196">
        <v>4</v>
      </c>
      <c r="E196">
        <v>4</v>
      </c>
      <c r="F196">
        <v>3</v>
      </c>
      <c r="G196">
        <v>4</v>
      </c>
      <c r="H196">
        <v>4</v>
      </c>
      <c r="I196">
        <v>7</v>
      </c>
      <c r="J196" s="11" t="s">
        <v>86</v>
      </c>
    </row>
    <row r="197" spans="1:10" ht="27.75" customHeight="1" x14ac:dyDescent="0.25">
      <c r="A197" t="s">
        <v>379</v>
      </c>
      <c r="B197" t="s">
        <v>82</v>
      </c>
      <c r="C197" t="s">
        <v>88</v>
      </c>
      <c r="D197">
        <v>1</v>
      </c>
      <c r="E197">
        <v>4</v>
      </c>
      <c r="F197">
        <v>4</v>
      </c>
      <c r="G197">
        <v>3</v>
      </c>
      <c r="H197">
        <v>4</v>
      </c>
      <c r="I197">
        <v>6</v>
      </c>
      <c r="J197" s="11" t="s">
        <v>179</v>
      </c>
    </row>
    <row r="198" spans="1:10" ht="27.75" customHeight="1" x14ac:dyDescent="0.25">
      <c r="A198" t="s">
        <v>380</v>
      </c>
      <c r="B198" t="s">
        <v>91</v>
      </c>
      <c r="C198" t="s">
        <v>94</v>
      </c>
      <c r="D198">
        <v>3</v>
      </c>
      <c r="E198">
        <v>2</v>
      </c>
      <c r="F198">
        <v>2</v>
      </c>
      <c r="G198">
        <v>2</v>
      </c>
      <c r="H198">
        <v>3</v>
      </c>
      <c r="I198">
        <v>3</v>
      </c>
      <c r="J198" s="11" t="s">
        <v>273</v>
      </c>
    </row>
    <row r="199" spans="1:10" ht="27.75" customHeight="1" x14ac:dyDescent="0.25">
      <c r="A199" t="s">
        <v>381</v>
      </c>
      <c r="B199" t="s">
        <v>77</v>
      </c>
      <c r="C199" t="s">
        <v>74</v>
      </c>
      <c r="D199">
        <v>4</v>
      </c>
      <c r="E199">
        <v>3</v>
      </c>
      <c r="F199">
        <v>3</v>
      </c>
      <c r="G199">
        <v>4</v>
      </c>
      <c r="H199">
        <v>3</v>
      </c>
      <c r="I199">
        <v>3</v>
      </c>
      <c r="J199" s="11" t="s">
        <v>382</v>
      </c>
    </row>
    <row r="200" spans="1:10" ht="15" customHeight="1" x14ac:dyDescent="0.25">
      <c r="A200" t="s">
        <v>383</v>
      </c>
      <c r="B200" t="s">
        <v>118</v>
      </c>
      <c r="C200" t="s">
        <v>94</v>
      </c>
      <c r="D200">
        <v>4</v>
      </c>
      <c r="E200">
        <v>4</v>
      </c>
      <c r="F200">
        <v>5</v>
      </c>
      <c r="G200">
        <v>3</v>
      </c>
      <c r="H200">
        <v>3</v>
      </c>
      <c r="I200">
        <v>5</v>
      </c>
      <c r="J200" s="11" t="s">
        <v>125</v>
      </c>
    </row>
    <row r="201" spans="1:10" ht="15" customHeight="1" x14ac:dyDescent="0.25">
      <c r="A201" t="s">
        <v>384</v>
      </c>
      <c r="B201" t="s">
        <v>73</v>
      </c>
      <c r="C201" t="s">
        <v>74</v>
      </c>
      <c r="D201">
        <v>4</v>
      </c>
      <c r="E201">
        <v>5</v>
      </c>
      <c r="F201">
        <v>4</v>
      </c>
      <c r="G201">
        <v>3</v>
      </c>
      <c r="H201">
        <v>5</v>
      </c>
      <c r="I201">
        <v>8</v>
      </c>
      <c r="J201" s="11" t="s">
        <v>75</v>
      </c>
    </row>
    <row r="202" spans="1:10" ht="15" customHeight="1" x14ac:dyDescent="0.25">
      <c r="A202" t="s">
        <v>385</v>
      </c>
      <c r="B202" t="s">
        <v>108</v>
      </c>
      <c r="C202" t="s">
        <v>94</v>
      </c>
      <c r="D202">
        <v>4</v>
      </c>
      <c r="E202">
        <v>3</v>
      </c>
      <c r="F202">
        <v>5</v>
      </c>
      <c r="G202">
        <v>3</v>
      </c>
      <c r="H202">
        <v>4</v>
      </c>
      <c r="I202">
        <v>5</v>
      </c>
      <c r="J202" s="11" t="s">
        <v>86</v>
      </c>
    </row>
    <row r="203" spans="1:10" ht="15" customHeight="1" x14ac:dyDescent="0.25">
      <c r="A203" t="s">
        <v>386</v>
      </c>
      <c r="B203" t="s">
        <v>91</v>
      </c>
      <c r="C203" t="s">
        <v>74</v>
      </c>
      <c r="D203">
        <v>4</v>
      </c>
      <c r="E203">
        <v>3</v>
      </c>
      <c r="F203">
        <v>4</v>
      </c>
      <c r="G203">
        <v>4</v>
      </c>
      <c r="H203">
        <v>3</v>
      </c>
      <c r="I203">
        <v>8</v>
      </c>
      <c r="J203" s="11" t="s">
        <v>387</v>
      </c>
    </row>
    <row r="204" spans="1:10" ht="15" customHeight="1" x14ac:dyDescent="0.25">
      <c r="A204" t="s">
        <v>388</v>
      </c>
      <c r="B204" t="s">
        <v>91</v>
      </c>
      <c r="C204" t="s">
        <v>94</v>
      </c>
      <c r="D204">
        <v>5</v>
      </c>
      <c r="E204">
        <v>3</v>
      </c>
      <c r="F204">
        <v>4</v>
      </c>
      <c r="G204">
        <v>4</v>
      </c>
      <c r="H204">
        <v>4</v>
      </c>
      <c r="I204">
        <v>9</v>
      </c>
      <c r="J204" s="11" t="s">
        <v>336</v>
      </c>
    </row>
    <row r="205" spans="1:10" ht="27.75" customHeight="1" x14ac:dyDescent="0.25">
      <c r="A205" t="s">
        <v>389</v>
      </c>
      <c r="B205" t="s">
        <v>82</v>
      </c>
      <c r="C205" t="s">
        <v>74</v>
      </c>
      <c r="D205">
        <v>5</v>
      </c>
      <c r="E205">
        <v>5</v>
      </c>
      <c r="F205">
        <v>4</v>
      </c>
      <c r="G205">
        <v>4</v>
      </c>
      <c r="H205">
        <v>4</v>
      </c>
      <c r="I205">
        <v>7</v>
      </c>
      <c r="J205" s="11" t="s">
        <v>196</v>
      </c>
    </row>
    <row r="206" spans="1:10" ht="15" customHeight="1" x14ac:dyDescent="0.25">
      <c r="A206" t="s">
        <v>390</v>
      </c>
      <c r="B206" t="s">
        <v>118</v>
      </c>
      <c r="C206" t="s">
        <v>85</v>
      </c>
      <c r="D206">
        <v>4</v>
      </c>
      <c r="E206">
        <v>4</v>
      </c>
      <c r="F206">
        <v>4</v>
      </c>
      <c r="G206">
        <v>5</v>
      </c>
      <c r="H206">
        <v>4</v>
      </c>
      <c r="I206">
        <v>6</v>
      </c>
      <c r="J206" s="11" t="s">
        <v>192</v>
      </c>
    </row>
    <row r="207" spans="1:10" ht="15" customHeight="1" x14ac:dyDescent="0.25">
      <c r="A207" t="s">
        <v>391</v>
      </c>
      <c r="B207" t="s">
        <v>82</v>
      </c>
      <c r="C207" t="s">
        <v>74</v>
      </c>
      <c r="D207">
        <v>4</v>
      </c>
      <c r="E207">
        <v>4</v>
      </c>
      <c r="F207">
        <v>4</v>
      </c>
      <c r="G207">
        <v>4</v>
      </c>
      <c r="H207">
        <v>4</v>
      </c>
      <c r="I207">
        <v>8</v>
      </c>
      <c r="J207" s="11" t="s">
        <v>181</v>
      </c>
    </row>
    <row r="208" spans="1:10" ht="27.75" customHeight="1" x14ac:dyDescent="0.25">
      <c r="A208" t="s">
        <v>392</v>
      </c>
      <c r="B208" t="s">
        <v>108</v>
      </c>
      <c r="C208" t="s">
        <v>94</v>
      </c>
      <c r="D208">
        <v>4</v>
      </c>
      <c r="E208">
        <v>2</v>
      </c>
      <c r="F208">
        <v>5</v>
      </c>
      <c r="G208">
        <v>4</v>
      </c>
      <c r="H208">
        <v>3</v>
      </c>
      <c r="I208">
        <v>10</v>
      </c>
      <c r="J208" s="11" t="s">
        <v>393</v>
      </c>
    </row>
    <row r="209" spans="1:10" ht="15" customHeight="1" x14ac:dyDescent="0.25">
      <c r="A209" t="s">
        <v>394</v>
      </c>
      <c r="B209" t="s">
        <v>77</v>
      </c>
      <c r="C209" t="s">
        <v>88</v>
      </c>
      <c r="D209">
        <v>5</v>
      </c>
      <c r="E209">
        <v>4</v>
      </c>
      <c r="F209">
        <v>3</v>
      </c>
      <c r="G209">
        <v>4</v>
      </c>
      <c r="H209">
        <v>2</v>
      </c>
      <c r="I209">
        <v>3</v>
      </c>
      <c r="J209" s="11" t="s">
        <v>101</v>
      </c>
    </row>
    <row r="210" spans="1:10" ht="27.75" customHeight="1" x14ac:dyDescent="0.25">
      <c r="A210" t="s">
        <v>395</v>
      </c>
      <c r="B210" t="s">
        <v>108</v>
      </c>
      <c r="C210" t="s">
        <v>94</v>
      </c>
      <c r="D210">
        <v>5</v>
      </c>
      <c r="E210">
        <v>5</v>
      </c>
      <c r="F210">
        <v>4</v>
      </c>
      <c r="G210">
        <v>3</v>
      </c>
      <c r="H210">
        <v>4</v>
      </c>
      <c r="I210">
        <v>8</v>
      </c>
      <c r="J210" s="11" t="s">
        <v>396</v>
      </c>
    </row>
    <row r="211" spans="1:10" ht="15" customHeight="1" x14ac:dyDescent="0.25">
      <c r="A211" t="s">
        <v>397</v>
      </c>
      <c r="B211" t="s">
        <v>73</v>
      </c>
      <c r="C211" t="s">
        <v>85</v>
      </c>
      <c r="D211">
        <v>4</v>
      </c>
      <c r="E211">
        <v>3</v>
      </c>
      <c r="F211">
        <v>4</v>
      </c>
      <c r="G211">
        <v>3</v>
      </c>
      <c r="H211">
        <v>4</v>
      </c>
      <c r="I211">
        <v>8</v>
      </c>
      <c r="J211" s="11" t="s">
        <v>293</v>
      </c>
    </row>
    <row r="212" spans="1:10" ht="15" customHeight="1" x14ac:dyDescent="0.25">
      <c r="A212" t="s">
        <v>398</v>
      </c>
      <c r="B212" t="s">
        <v>82</v>
      </c>
      <c r="C212" t="s">
        <v>85</v>
      </c>
      <c r="D212">
        <v>3</v>
      </c>
      <c r="E212">
        <v>4</v>
      </c>
      <c r="F212">
        <v>4</v>
      </c>
      <c r="G212">
        <v>3</v>
      </c>
      <c r="H212">
        <v>3</v>
      </c>
      <c r="I212">
        <v>4</v>
      </c>
      <c r="J212" s="11" t="s">
        <v>159</v>
      </c>
    </row>
    <row r="213" spans="1:10" ht="15" customHeight="1" x14ac:dyDescent="0.25">
      <c r="A213" t="s">
        <v>399</v>
      </c>
      <c r="B213" t="s">
        <v>77</v>
      </c>
      <c r="C213" t="s">
        <v>74</v>
      </c>
      <c r="D213">
        <v>3</v>
      </c>
      <c r="E213">
        <v>2</v>
      </c>
      <c r="F213">
        <v>3</v>
      </c>
      <c r="G213">
        <v>4</v>
      </c>
      <c r="H213">
        <v>3</v>
      </c>
      <c r="I213">
        <v>2</v>
      </c>
      <c r="J213" s="11" t="s">
        <v>89</v>
      </c>
    </row>
    <row r="214" spans="1:10" ht="27.75" customHeight="1" x14ac:dyDescent="0.25">
      <c r="A214" t="s">
        <v>400</v>
      </c>
      <c r="B214" t="s">
        <v>82</v>
      </c>
      <c r="C214" t="s">
        <v>74</v>
      </c>
      <c r="D214">
        <v>2</v>
      </c>
      <c r="E214">
        <v>2</v>
      </c>
      <c r="F214">
        <v>3</v>
      </c>
      <c r="G214">
        <v>2</v>
      </c>
      <c r="H214">
        <v>4</v>
      </c>
      <c r="I214">
        <v>6</v>
      </c>
      <c r="J214" s="11" t="s">
        <v>401</v>
      </c>
    </row>
    <row r="215" spans="1:10" ht="27.75" customHeight="1" x14ac:dyDescent="0.25">
      <c r="A215" t="s">
        <v>402</v>
      </c>
      <c r="B215" t="s">
        <v>77</v>
      </c>
      <c r="C215" t="s">
        <v>85</v>
      </c>
      <c r="D215">
        <v>4</v>
      </c>
      <c r="E215">
        <v>3</v>
      </c>
      <c r="F215">
        <v>2</v>
      </c>
      <c r="G215">
        <v>4</v>
      </c>
      <c r="H215">
        <v>5</v>
      </c>
      <c r="I215">
        <v>6</v>
      </c>
      <c r="J215" s="11" t="s">
        <v>131</v>
      </c>
    </row>
    <row r="216" spans="1:10" ht="15" customHeight="1" x14ac:dyDescent="0.25">
      <c r="A216" t="s">
        <v>403</v>
      </c>
      <c r="B216" t="s">
        <v>73</v>
      </c>
      <c r="C216" t="s">
        <v>88</v>
      </c>
      <c r="D216">
        <v>4</v>
      </c>
      <c r="E216">
        <v>2</v>
      </c>
      <c r="F216">
        <v>5</v>
      </c>
      <c r="G216">
        <v>5</v>
      </c>
      <c r="H216">
        <v>5</v>
      </c>
      <c r="I216">
        <v>8</v>
      </c>
      <c r="J216" s="11" t="s">
        <v>125</v>
      </c>
    </row>
    <row r="217" spans="1:10" ht="27.75" customHeight="1" x14ac:dyDescent="0.25">
      <c r="A217" t="s">
        <v>404</v>
      </c>
      <c r="B217" t="s">
        <v>118</v>
      </c>
      <c r="C217" t="s">
        <v>88</v>
      </c>
      <c r="D217">
        <v>3</v>
      </c>
      <c r="E217">
        <v>3</v>
      </c>
      <c r="F217">
        <v>3</v>
      </c>
      <c r="G217">
        <v>2</v>
      </c>
      <c r="H217">
        <v>3</v>
      </c>
      <c r="I217">
        <v>6</v>
      </c>
      <c r="J217" s="11" t="s">
        <v>405</v>
      </c>
    </row>
    <row r="218" spans="1:10" ht="15" customHeight="1" x14ac:dyDescent="0.25">
      <c r="A218" t="s">
        <v>406</v>
      </c>
      <c r="B218" t="s">
        <v>91</v>
      </c>
      <c r="C218" t="s">
        <v>74</v>
      </c>
      <c r="D218">
        <v>5</v>
      </c>
      <c r="E218">
        <v>5</v>
      </c>
      <c r="F218">
        <v>4</v>
      </c>
      <c r="G218">
        <v>2</v>
      </c>
      <c r="H218">
        <v>5</v>
      </c>
      <c r="I218">
        <v>10</v>
      </c>
      <c r="J218" s="11" t="s">
        <v>336</v>
      </c>
    </row>
    <row r="219" spans="1:10" ht="27.75" customHeight="1" x14ac:dyDescent="0.25">
      <c r="A219" t="s">
        <v>407</v>
      </c>
      <c r="B219" t="s">
        <v>77</v>
      </c>
      <c r="C219" t="s">
        <v>88</v>
      </c>
      <c r="D219">
        <v>4</v>
      </c>
      <c r="E219">
        <v>3</v>
      </c>
      <c r="F219">
        <v>4</v>
      </c>
      <c r="G219">
        <v>5</v>
      </c>
      <c r="H219">
        <v>3</v>
      </c>
      <c r="I219">
        <v>6</v>
      </c>
      <c r="J219" s="11" t="s">
        <v>246</v>
      </c>
    </row>
    <row r="220" spans="1:10" ht="15" customHeight="1" x14ac:dyDescent="0.25">
      <c r="A220" t="s">
        <v>408</v>
      </c>
      <c r="B220" t="s">
        <v>82</v>
      </c>
      <c r="C220" t="s">
        <v>88</v>
      </c>
      <c r="D220">
        <v>5</v>
      </c>
      <c r="E220">
        <v>4</v>
      </c>
      <c r="F220">
        <v>4</v>
      </c>
      <c r="G220">
        <v>5</v>
      </c>
      <c r="H220">
        <v>2</v>
      </c>
      <c r="I220">
        <v>7</v>
      </c>
      <c r="J220" s="11" t="s">
        <v>86</v>
      </c>
    </row>
    <row r="221" spans="1:10" ht="15" customHeight="1" x14ac:dyDescent="0.25">
      <c r="A221" t="s">
        <v>409</v>
      </c>
      <c r="B221" t="s">
        <v>73</v>
      </c>
      <c r="C221" t="s">
        <v>74</v>
      </c>
      <c r="D221">
        <v>3</v>
      </c>
      <c r="E221">
        <v>3</v>
      </c>
      <c r="F221">
        <v>2</v>
      </c>
      <c r="G221">
        <v>3</v>
      </c>
      <c r="H221">
        <v>3</v>
      </c>
      <c r="I221">
        <v>5</v>
      </c>
      <c r="J221" s="11" t="s">
        <v>119</v>
      </c>
    </row>
    <row r="222" spans="1:10" ht="15" customHeight="1" x14ac:dyDescent="0.25">
      <c r="A222" t="s">
        <v>410</v>
      </c>
      <c r="B222" t="s">
        <v>73</v>
      </c>
      <c r="C222" t="s">
        <v>74</v>
      </c>
      <c r="D222">
        <v>4</v>
      </c>
      <c r="E222">
        <v>4</v>
      </c>
      <c r="F222">
        <v>4</v>
      </c>
      <c r="G222">
        <v>5</v>
      </c>
      <c r="H222">
        <v>4</v>
      </c>
      <c r="I222">
        <v>9</v>
      </c>
      <c r="J222" s="11" t="s">
        <v>411</v>
      </c>
    </row>
    <row r="223" spans="1:10" ht="27.75" customHeight="1" x14ac:dyDescent="0.25">
      <c r="A223" t="s">
        <v>412</v>
      </c>
      <c r="B223" t="s">
        <v>91</v>
      </c>
      <c r="C223" t="s">
        <v>88</v>
      </c>
      <c r="D223">
        <v>3</v>
      </c>
      <c r="E223">
        <v>3</v>
      </c>
      <c r="F223">
        <v>4</v>
      </c>
      <c r="G223">
        <v>2</v>
      </c>
      <c r="H223">
        <v>3</v>
      </c>
      <c r="I223">
        <v>4</v>
      </c>
      <c r="J223" s="11" t="s">
        <v>166</v>
      </c>
    </row>
    <row r="224" spans="1:10" ht="15" customHeight="1" x14ac:dyDescent="0.25">
      <c r="A224" t="s">
        <v>413</v>
      </c>
      <c r="B224" t="s">
        <v>91</v>
      </c>
      <c r="C224" t="s">
        <v>94</v>
      </c>
      <c r="D224">
        <v>2</v>
      </c>
      <c r="E224">
        <v>4</v>
      </c>
      <c r="F224">
        <v>5</v>
      </c>
      <c r="G224">
        <v>3</v>
      </c>
      <c r="H224">
        <v>3</v>
      </c>
      <c r="I224">
        <v>7</v>
      </c>
      <c r="J224" s="11" t="s">
        <v>192</v>
      </c>
    </row>
    <row r="225" spans="1:10" ht="15" customHeight="1" x14ac:dyDescent="0.25">
      <c r="A225" t="s">
        <v>414</v>
      </c>
      <c r="B225" t="s">
        <v>73</v>
      </c>
      <c r="C225" t="s">
        <v>88</v>
      </c>
      <c r="D225">
        <v>2</v>
      </c>
      <c r="E225">
        <v>3</v>
      </c>
      <c r="F225">
        <v>4</v>
      </c>
      <c r="G225">
        <v>3</v>
      </c>
      <c r="H225">
        <v>3</v>
      </c>
      <c r="I225">
        <v>4</v>
      </c>
      <c r="J225" s="11" t="s">
        <v>97</v>
      </c>
    </row>
    <row r="226" spans="1:10" ht="27.75" customHeight="1" x14ac:dyDescent="0.25">
      <c r="A226" t="s">
        <v>415</v>
      </c>
      <c r="B226" t="s">
        <v>73</v>
      </c>
      <c r="C226" t="s">
        <v>94</v>
      </c>
      <c r="D226">
        <v>3</v>
      </c>
      <c r="E226">
        <v>2</v>
      </c>
      <c r="F226">
        <v>4</v>
      </c>
      <c r="G226">
        <v>3</v>
      </c>
      <c r="H226">
        <v>4</v>
      </c>
      <c r="I226">
        <v>2</v>
      </c>
      <c r="J226" s="11" t="s">
        <v>179</v>
      </c>
    </row>
    <row r="227" spans="1:10" ht="27.75" customHeight="1" x14ac:dyDescent="0.25">
      <c r="A227" t="s">
        <v>416</v>
      </c>
      <c r="B227" t="s">
        <v>118</v>
      </c>
      <c r="C227" t="s">
        <v>74</v>
      </c>
      <c r="D227">
        <v>2</v>
      </c>
      <c r="E227">
        <v>4</v>
      </c>
      <c r="F227">
        <v>3</v>
      </c>
      <c r="G227">
        <v>3</v>
      </c>
      <c r="H227">
        <v>3</v>
      </c>
      <c r="I227">
        <v>4</v>
      </c>
      <c r="J227" s="11" t="s">
        <v>417</v>
      </c>
    </row>
    <row r="228" spans="1:10" ht="15" customHeight="1" x14ac:dyDescent="0.25">
      <c r="A228" t="s">
        <v>418</v>
      </c>
      <c r="B228" t="s">
        <v>82</v>
      </c>
      <c r="C228" t="s">
        <v>85</v>
      </c>
      <c r="D228">
        <v>1</v>
      </c>
      <c r="E228">
        <v>3</v>
      </c>
      <c r="F228">
        <v>4</v>
      </c>
      <c r="G228">
        <v>3</v>
      </c>
      <c r="H228">
        <v>4</v>
      </c>
      <c r="I228">
        <v>6</v>
      </c>
      <c r="J228" s="11" t="s">
        <v>232</v>
      </c>
    </row>
    <row r="229" spans="1:10" ht="27.75" customHeight="1" x14ac:dyDescent="0.25">
      <c r="A229" t="s">
        <v>419</v>
      </c>
      <c r="B229" t="s">
        <v>82</v>
      </c>
      <c r="C229" t="s">
        <v>85</v>
      </c>
      <c r="D229">
        <v>1</v>
      </c>
      <c r="E229">
        <v>2</v>
      </c>
      <c r="F229">
        <v>3</v>
      </c>
      <c r="G229">
        <v>4</v>
      </c>
      <c r="H229">
        <v>2</v>
      </c>
      <c r="I229">
        <v>8</v>
      </c>
      <c r="J229" s="11" t="s">
        <v>420</v>
      </c>
    </row>
    <row r="230" spans="1:10" ht="15" customHeight="1" x14ac:dyDescent="0.25">
      <c r="A230" t="s">
        <v>421</v>
      </c>
      <c r="B230" t="s">
        <v>118</v>
      </c>
      <c r="C230" t="s">
        <v>88</v>
      </c>
      <c r="D230">
        <v>5</v>
      </c>
      <c r="E230">
        <v>2</v>
      </c>
      <c r="F230">
        <v>2</v>
      </c>
      <c r="G230">
        <v>4</v>
      </c>
      <c r="H230">
        <v>3</v>
      </c>
      <c r="I230">
        <v>9</v>
      </c>
      <c r="J230" s="11" t="s">
        <v>78</v>
      </c>
    </row>
    <row r="231" spans="1:10" ht="15" customHeight="1" x14ac:dyDescent="0.25">
      <c r="A231" t="s">
        <v>422</v>
      </c>
      <c r="B231" t="s">
        <v>118</v>
      </c>
      <c r="C231" t="s">
        <v>94</v>
      </c>
      <c r="D231">
        <v>3</v>
      </c>
      <c r="E231">
        <v>2</v>
      </c>
      <c r="F231">
        <v>4</v>
      </c>
      <c r="G231">
        <v>3</v>
      </c>
      <c r="H231">
        <v>4</v>
      </c>
      <c r="I231">
        <v>6</v>
      </c>
      <c r="J231" s="11" t="s">
        <v>119</v>
      </c>
    </row>
    <row r="232" spans="1:10" ht="15" customHeight="1" x14ac:dyDescent="0.25">
      <c r="A232" t="s">
        <v>423</v>
      </c>
      <c r="B232" t="s">
        <v>118</v>
      </c>
      <c r="C232" t="s">
        <v>74</v>
      </c>
      <c r="D232">
        <v>3</v>
      </c>
      <c r="E232">
        <v>3</v>
      </c>
      <c r="F232">
        <v>3</v>
      </c>
      <c r="G232">
        <v>2</v>
      </c>
      <c r="H232">
        <v>2</v>
      </c>
      <c r="I232">
        <v>4</v>
      </c>
      <c r="J232" s="11" t="s">
        <v>159</v>
      </c>
    </row>
    <row r="233" spans="1:10" ht="27.75" customHeight="1" x14ac:dyDescent="0.25">
      <c r="A233" t="s">
        <v>424</v>
      </c>
      <c r="B233" t="s">
        <v>91</v>
      </c>
      <c r="C233" t="s">
        <v>85</v>
      </c>
      <c r="D233">
        <v>3</v>
      </c>
      <c r="E233">
        <v>3</v>
      </c>
      <c r="F233">
        <v>2</v>
      </c>
      <c r="G233">
        <v>4</v>
      </c>
      <c r="H233">
        <v>3</v>
      </c>
      <c r="I233">
        <v>4</v>
      </c>
      <c r="J233" s="11" t="s">
        <v>425</v>
      </c>
    </row>
    <row r="234" spans="1:10" ht="27.75" customHeight="1" x14ac:dyDescent="0.25">
      <c r="A234" t="s">
        <v>426</v>
      </c>
      <c r="B234" t="s">
        <v>108</v>
      </c>
      <c r="C234" t="s">
        <v>88</v>
      </c>
      <c r="D234">
        <v>4</v>
      </c>
      <c r="E234">
        <v>2</v>
      </c>
      <c r="F234">
        <v>2</v>
      </c>
      <c r="G234">
        <v>2</v>
      </c>
      <c r="H234">
        <v>4</v>
      </c>
      <c r="I234">
        <v>6</v>
      </c>
      <c r="J234" s="11" t="s">
        <v>427</v>
      </c>
    </row>
    <row r="235" spans="1:10" ht="27.75" customHeight="1" x14ac:dyDescent="0.25">
      <c r="A235" t="s">
        <v>428</v>
      </c>
      <c r="B235" t="s">
        <v>91</v>
      </c>
      <c r="C235" t="s">
        <v>74</v>
      </c>
      <c r="D235">
        <v>4</v>
      </c>
      <c r="E235">
        <v>4</v>
      </c>
      <c r="F235">
        <v>3</v>
      </c>
      <c r="G235">
        <v>4</v>
      </c>
      <c r="H235">
        <v>3</v>
      </c>
      <c r="I235">
        <v>8</v>
      </c>
      <c r="J235" s="11" t="s">
        <v>339</v>
      </c>
    </row>
    <row r="236" spans="1:10" ht="27.75" customHeight="1" x14ac:dyDescent="0.25">
      <c r="A236" t="s">
        <v>429</v>
      </c>
      <c r="B236" t="s">
        <v>77</v>
      </c>
      <c r="C236" t="s">
        <v>94</v>
      </c>
      <c r="D236">
        <v>3</v>
      </c>
      <c r="E236">
        <v>2</v>
      </c>
      <c r="F236">
        <v>3</v>
      </c>
      <c r="G236">
        <v>2</v>
      </c>
      <c r="H236">
        <v>3</v>
      </c>
      <c r="I236">
        <v>7</v>
      </c>
      <c r="J236" s="11" t="s">
        <v>430</v>
      </c>
    </row>
    <row r="237" spans="1:10" ht="27.75" customHeight="1" x14ac:dyDescent="0.25">
      <c r="A237" t="s">
        <v>431</v>
      </c>
      <c r="B237" t="s">
        <v>73</v>
      </c>
      <c r="C237" t="s">
        <v>88</v>
      </c>
      <c r="D237">
        <v>2</v>
      </c>
      <c r="E237">
        <v>3</v>
      </c>
      <c r="F237">
        <v>4</v>
      </c>
      <c r="G237">
        <v>4</v>
      </c>
      <c r="H237">
        <v>3</v>
      </c>
      <c r="I237">
        <v>3</v>
      </c>
      <c r="J237" s="11" t="s">
        <v>310</v>
      </c>
    </row>
    <row r="238" spans="1:10" ht="15" customHeight="1" x14ac:dyDescent="0.25">
      <c r="A238" t="s">
        <v>432</v>
      </c>
      <c r="B238" t="s">
        <v>73</v>
      </c>
      <c r="C238" t="s">
        <v>74</v>
      </c>
      <c r="D238">
        <v>3</v>
      </c>
      <c r="E238">
        <v>5</v>
      </c>
      <c r="F238">
        <v>5</v>
      </c>
      <c r="G238">
        <v>4</v>
      </c>
      <c r="H238">
        <v>3</v>
      </c>
      <c r="I238">
        <v>7</v>
      </c>
      <c r="J238" s="11" t="s">
        <v>433</v>
      </c>
    </row>
    <row r="239" spans="1:10" ht="15" customHeight="1" x14ac:dyDescent="0.25">
      <c r="A239" t="s">
        <v>434</v>
      </c>
      <c r="B239" t="s">
        <v>118</v>
      </c>
      <c r="C239" t="s">
        <v>74</v>
      </c>
      <c r="D239">
        <v>5</v>
      </c>
      <c r="E239">
        <v>4</v>
      </c>
      <c r="F239">
        <v>4</v>
      </c>
      <c r="G239">
        <v>4</v>
      </c>
      <c r="H239">
        <v>4</v>
      </c>
      <c r="I239">
        <v>8</v>
      </c>
      <c r="J239" s="11" t="s">
        <v>411</v>
      </c>
    </row>
    <row r="240" spans="1:10" ht="15" customHeight="1" x14ac:dyDescent="0.25">
      <c r="A240" t="s">
        <v>435</v>
      </c>
      <c r="B240" t="s">
        <v>77</v>
      </c>
      <c r="C240" t="s">
        <v>74</v>
      </c>
      <c r="D240">
        <v>4</v>
      </c>
      <c r="E240">
        <v>3</v>
      </c>
      <c r="F240">
        <v>2</v>
      </c>
      <c r="G240">
        <v>3</v>
      </c>
      <c r="H240">
        <v>2</v>
      </c>
      <c r="I240">
        <v>7</v>
      </c>
      <c r="J240" s="11" t="s">
        <v>111</v>
      </c>
    </row>
    <row r="241" spans="1:10" ht="15" customHeight="1" x14ac:dyDescent="0.25">
      <c r="A241" t="s">
        <v>436</v>
      </c>
      <c r="B241" t="s">
        <v>73</v>
      </c>
      <c r="C241" t="s">
        <v>94</v>
      </c>
      <c r="D241">
        <v>5</v>
      </c>
      <c r="E241">
        <v>4</v>
      </c>
      <c r="F241">
        <v>2</v>
      </c>
      <c r="G241">
        <v>3</v>
      </c>
      <c r="H241">
        <v>1</v>
      </c>
      <c r="I241">
        <v>5</v>
      </c>
      <c r="J241" s="11" t="s">
        <v>101</v>
      </c>
    </row>
    <row r="242" spans="1:10" ht="15" customHeight="1" x14ac:dyDescent="0.25">
      <c r="A242" t="s">
        <v>437</v>
      </c>
      <c r="B242" t="s">
        <v>73</v>
      </c>
      <c r="C242" t="s">
        <v>74</v>
      </c>
      <c r="D242">
        <v>3</v>
      </c>
      <c r="E242">
        <v>2</v>
      </c>
      <c r="F242">
        <v>3</v>
      </c>
      <c r="G242">
        <v>2</v>
      </c>
      <c r="H242">
        <v>2</v>
      </c>
      <c r="I242">
        <v>4</v>
      </c>
      <c r="J242" s="11" t="s">
        <v>111</v>
      </c>
    </row>
    <row r="243" spans="1:10" ht="15" customHeight="1" x14ac:dyDescent="0.25">
      <c r="A243" t="s">
        <v>438</v>
      </c>
      <c r="B243" t="s">
        <v>118</v>
      </c>
      <c r="C243" t="s">
        <v>88</v>
      </c>
      <c r="D243">
        <v>3</v>
      </c>
      <c r="E243">
        <v>3</v>
      </c>
      <c r="F243">
        <v>2</v>
      </c>
      <c r="G243">
        <v>3</v>
      </c>
      <c r="H243">
        <v>4</v>
      </c>
      <c r="I243">
        <v>6</v>
      </c>
      <c r="J243" s="11" t="s">
        <v>439</v>
      </c>
    </row>
    <row r="244" spans="1:10" ht="15" customHeight="1" x14ac:dyDescent="0.25">
      <c r="A244" t="s">
        <v>440</v>
      </c>
      <c r="B244" t="s">
        <v>91</v>
      </c>
      <c r="C244" t="s">
        <v>74</v>
      </c>
      <c r="D244">
        <v>4</v>
      </c>
      <c r="E244">
        <v>1</v>
      </c>
      <c r="F244">
        <v>4</v>
      </c>
      <c r="G244">
        <v>3</v>
      </c>
      <c r="H244">
        <v>3</v>
      </c>
      <c r="I244">
        <v>3</v>
      </c>
      <c r="J244" s="11" t="s">
        <v>89</v>
      </c>
    </row>
    <row r="245" spans="1:10" ht="27.75" customHeight="1" x14ac:dyDescent="0.25">
      <c r="A245" t="s">
        <v>441</v>
      </c>
      <c r="B245" t="s">
        <v>77</v>
      </c>
      <c r="C245" t="s">
        <v>94</v>
      </c>
      <c r="D245">
        <v>2</v>
      </c>
      <c r="E245">
        <v>2</v>
      </c>
      <c r="F245">
        <v>3</v>
      </c>
      <c r="G245">
        <v>1</v>
      </c>
      <c r="H245">
        <v>4</v>
      </c>
      <c r="I245">
        <v>5</v>
      </c>
      <c r="J245" s="11" t="s">
        <v>333</v>
      </c>
    </row>
    <row r="246" spans="1:10" ht="15" customHeight="1" x14ac:dyDescent="0.25">
      <c r="A246" t="s">
        <v>442</v>
      </c>
      <c r="B246" t="s">
        <v>118</v>
      </c>
      <c r="C246" t="s">
        <v>74</v>
      </c>
      <c r="D246">
        <v>3</v>
      </c>
      <c r="E246">
        <v>5</v>
      </c>
      <c r="F246">
        <v>3</v>
      </c>
      <c r="G246">
        <v>5</v>
      </c>
      <c r="H246">
        <v>4</v>
      </c>
      <c r="I246">
        <v>8</v>
      </c>
      <c r="J246" s="11" t="s">
        <v>125</v>
      </c>
    </row>
    <row r="247" spans="1:10" ht="15" customHeight="1" x14ac:dyDescent="0.25">
      <c r="A247" t="s">
        <v>443</v>
      </c>
      <c r="B247" t="s">
        <v>73</v>
      </c>
      <c r="C247" t="s">
        <v>85</v>
      </c>
      <c r="D247">
        <v>2</v>
      </c>
      <c r="E247">
        <v>3</v>
      </c>
      <c r="F247">
        <v>2</v>
      </c>
      <c r="G247">
        <v>3</v>
      </c>
      <c r="H247">
        <v>2</v>
      </c>
      <c r="I247">
        <v>6</v>
      </c>
      <c r="J247" s="11" t="s">
        <v>141</v>
      </c>
    </row>
    <row r="248" spans="1:10" ht="15" customHeight="1" x14ac:dyDescent="0.25">
      <c r="A248" t="s">
        <v>444</v>
      </c>
      <c r="B248" t="s">
        <v>91</v>
      </c>
      <c r="C248" t="s">
        <v>88</v>
      </c>
      <c r="D248">
        <v>2</v>
      </c>
      <c r="E248">
        <v>2</v>
      </c>
      <c r="F248">
        <v>4</v>
      </c>
      <c r="G248">
        <v>2</v>
      </c>
      <c r="H248">
        <v>4</v>
      </c>
      <c r="I248">
        <v>4</v>
      </c>
      <c r="J248" s="11" t="s">
        <v>159</v>
      </c>
    </row>
    <row r="249" spans="1:10" ht="15" customHeight="1" x14ac:dyDescent="0.25">
      <c r="A249" t="s">
        <v>445</v>
      </c>
      <c r="B249" t="s">
        <v>73</v>
      </c>
      <c r="C249" t="s">
        <v>88</v>
      </c>
      <c r="D249">
        <v>4</v>
      </c>
      <c r="E249">
        <v>4</v>
      </c>
      <c r="F249">
        <v>4</v>
      </c>
      <c r="G249">
        <v>5</v>
      </c>
      <c r="H249">
        <v>4</v>
      </c>
      <c r="I249">
        <v>8</v>
      </c>
      <c r="J249" s="11" t="s">
        <v>446</v>
      </c>
    </row>
    <row r="250" spans="1:10" ht="27.75" customHeight="1" x14ac:dyDescent="0.25">
      <c r="A250" t="s">
        <v>447</v>
      </c>
      <c r="B250" t="s">
        <v>118</v>
      </c>
      <c r="C250" t="s">
        <v>74</v>
      </c>
      <c r="D250">
        <v>2</v>
      </c>
      <c r="E250">
        <v>3</v>
      </c>
      <c r="F250">
        <v>2</v>
      </c>
      <c r="G250">
        <v>2</v>
      </c>
      <c r="H250">
        <v>4</v>
      </c>
      <c r="I250">
        <v>6</v>
      </c>
      <c r="J250" s="11" t="s">
        <v>448</v>
      </c>
    </row>
    <row r="251" spans="1:10" ht="15" customHeight="1" x14ac:dyDescent="0.25">
      <c r="A251" t="s">
        <v>449</v>
      </c>
      <c r="B251" t="s">
        <v>77</v>
      </c>
      <c r="C251" t="s">
        <v>88</v>
      </c>
      <c r="D251">
        <v>2</v>
      </c>
      <c r="E251">
        <v>3</v>
      </c>
      <c r="F251">
        <v>1</v>
      </c>
      <c r="G251">
        <v>3</v>
      </c>
      <c r="H251">
        <v>3</v>
      </c>
      <c r="I251">
        <v>5</v>
      </c>
      <c r="J251" s="11" t="s">
        <v>141</v>
      </c>
    </row>
    <row r="252" spans="1:10" ht="27.75" customHeight="1" x14ac:dyDescent="0.25">
      <c r="A252" t="s">
        <v>450</v>
      </c>
      <c r="B252" t="s">
        <v>77</v>
      </c>
      <c r="C252" t="s">
        <v>94</v>
      </c>
      <c r="D252">
        <v>5</v>
      </c>
      <c r="E252">
        <v>3</v>
      </c>
      <c r="F252">
        <v>3</v>
      </c>
      <c r="G252">
        <v>3</v>
      </c>
      <c r="H252">
        <v>5</v>
      </c>
      <c r="I252">
        <v>7</v>
      </c>
      <c r="J252" s="11" t="s">
        <v>339</v>
      </c>
    </row>
    <row r="253" spans="1:10" ht="27.75" customHeight="1" x14ac:dyDescent="0.25">
      <c r="A253" t="s">
        <v>451</v>
      </c>
      <c r="B253" t="s">
        <v>118</v>
      </c>
      <c r="C253" t="s">
        <v>94</v>
      </c>
      <c r="D253">
        <v>3</v>
      </c>
      <c r="E253">
        <v>5</v>
      </c>
      <c r="F253">
        <v>5</v>
      </c>
      <c r="G253">
        <v>4</v>
      </c>
      <c r="H253">
        <v>4</v>
      </c>
      <c r="I253">
        <v>7</v>
      </c>
      <c r="J253" s="11" t="s">
        <v>286</v>
      </c>
    </row>
    <row r="254" spans="1:10" ht="15" customHeight="1" x14ac:dyDescent="0.25">
      <c r="A254" t="s">
        <v>452</v>
      </c>
      <c r="B254" t="s">
        <v>77</v>
      </c>
      <c r="C254" t="s">
        <v>74</v>
      </c>
      <c r="D254">
        <v>4</v>
      </c>
      <c r="E254">
        <v>3</v>
      </c>
      <c r="F254">
        <v>4</v>
      </c>
      <c r="G254">
        <v>5</v>
      </c>
      <c r="H254">
        <v>1</v>
      </c>
      <c r="I254">
        <v>5</v>
      </c>
      <c r="J254" s="11" t="s">
        <v>201</v>
      </c>
    </row>
    <row r="255" spans="1:10" ht="15" customHeight="1" x14ac:dyDescent="0.25">
      <c r="A255" t="s">
        <v>453</v>
      </c>
      <c r="B255" t="s">
        <v>91</v>
      </c>
      <c r="C255" t="s">
        <v>74</v>
      </c>
      <c r="D255">
        <v>4</v>
      </c>
      <c r="E255">
        <v>3</v>
      </c>
      <c r="F255">
        <v>2</v>
      </c>
      <c r="G255">
        <v>3</v>
      </c>
      <c r="H255">
        <v>4</v>
      </c>
      <c r="I255">
        <v>5</v>
      </c>
      <c r="J255" s="11" t="s">
        <v>232</v>
      </c>
    </row>
    <row r="256" spans="1:10" ht="15" customHeight="1" x14ac:dyDescent="0.25">
      <c r="A256" t="s">
        <v>454</v>
      </c>
      <c r="B256" t="s">
        <v>77</v>
      </c>
      <c r="C256" t="s">
        <v>94</v>
      </c>
      <c r="D256">
        <v>2</v>
      </c>
      <c r="E256">
        <v>2</v>
      </c>
      <c r="F256">
        <v>3</v>
      </c>
      <c r="G256">
        <v>4</v>
      </c>
      <c r="H256">
        <v>3</v>
      </c>
      <c r="I256">
        <v>4</v>
      </c>
      <c r="J256" s="11" t="s">
        <v>455</v>
      </c>
    </row>
    <row r="257" spans="1:10" ht="27.75" customHeight="1" x14ac:dyDescent="0.25">
      <c r="A257" t="s">
        <v>456</v>
      </c>
      <c r="B257" t="s">
        <v>82</v>
      </c>
      <c r="C257" t="s">
        <v>85</v>
      </c>
      <c r="D257">
        <v>3</v>
      </c>
      <c r="E257">
        <v>3</v>
      </c>
      <c r="F257">
        <v>3</v>
      </c>
      <c r="G257">
        <v>3</v>
      </c>
      <c r="H257">
        <v>1</v>
      </c>
      <c r="I257">
        <v>6</v>
      </c>
      <c r="J257" s="11" t="s">
        <v>190</v>
      </c>
    </row>
    <row r="258" spans="1:10" ht="27.75" customHeight="1" x14ac:dyDescent="0.25">
      <c r="A258" t="s">
        <v>457</v>
      </c>
      <c r="B258" t="s">
        <v>118</v>
      </c>
      <c r="C258" t="s">
        <v>85</v>
      </c>
      <c r="D258">
        <v>2</v>
      </c>
      <c r="E258">
        <v>3</v>
      </c>
      <c r="F258">
        <v>4</v>
      </c>
      <c r="G258">
        <v>2</v>
      </c>
      <c r="H258">
        <v>2</v>
      </c>
      <c r="I258">
        <v>4</v>
      </c>
      <c r="J258" s="11" t="s">
        <v>458</v>
      </c>
    </row>
    <row r="259" spans="1:10" ht="15" customHeight="1" x14ac:dyDescent="0.25">
      <c r="A259" t="s">
        <v>459</v>
      </c>
      <c r="B259" t="s">
        <v>73</v>
      </c>
      <c r="C259" t="s">
        <v>94</v>
      </c>
      <c r="D259">
        <v>2</v>
      </c>
      <c r="E259">
        <v>4</v>
      </c>
      <c r="F259">
        <v>2</v>
      </c>
      <c r="G259">
        <v>3</v>
      </c>
      <c r="H259">
        <v>3</v>
      </c>
      <c r="I259">
        <v>1</v>
      </c>
      <c r="J259" s="11" t="s">
        <v>201</v>
      </c>
    </row>
    <row r="260" spans="1:10" ht="15" customHeight="1" x14ac:dyDescent="0.25">
      <c r="A260" t="s">
        <v>460</v>
      </c>
      <c r="B260" t="s">
        <v>108</v>
      </c>
      <c r="C260" t="s">
        <v>88</v>
      </c>
      <c r="D260">
        <v>4</v>
      </c>
      <c r="E260">
        <v>4</v>
      </c>
      <c r="F260">
        <v>3</v>
      </c>
      <c r="G260">
        <v>4</v>
      </c>
      <c r="H260">
        <v>3</v>
      </c>
      <c r="I260">
        <v>8</v>
      </c>
      <c r="J260" s="11" t="s">
        <v>261</v>
      </c>
    </row>
    <row r="261" spans="1:10" ht="15" customHeight="1" x14ac:dyDescent="0.25">
      <c r="A261" t="s">
        <v>461</v>
      </c>
      <c r="B261" t="s">
        <v>73</v>
      </c>
      <c r="C261" t="s">
        <v>88</v>
      </c>
      <c r="D261">
        <v>4</v>
      </c>
      <c r="E261">
        <v>5</v>
      </c>
      <c r="F261">
        <v>4</v>
      </c>
      <c r="G261">
        <v>3</v>
      </c>
      <c r="H261">
        <v>5</v>
      </c>
      <c r="I261">
        <v>7</v>
      </c>
      <c r="J261" s="11" t="s">
        <v>75</v>
      </c>
    </row>
    <row r="262" spans="1:10" ht="27.75" customHeight="1" x14ac:dyDescent="0.25">
      <c r="A262" t="s">
        <v>462</v>
      </c>
      <c r="B262" t="s">
        <v>73</v>
      </c>
      <c r="C262" t="s">
        <v>74</v>
      </c>
      <c r="D262">
        <v>2</v>
      </c>
      <c r="E262">
        <v>2</v>
      </c>
      <c r="F262">
        <v>2</v>
      </c>
      <c r="G262">
        <v>4</v>
      </c>
      <c r="H262">
        <v>4</v>
      </c>
      <c r="I262">
        <v>4</v>
      </c>
      <c r="J262" s="11" t="s">
        <v>207</v>
      </c>
    </row>
    <row r="263" spans="1:10" ht="15" customHeight="1" x14ac:dyDescent="0.25">
      <c r="A263" t="s">
        <v>463</v>
      </c>
      <c r="B263" t="s">
        <v>108</v>
      </c>
      <c r="C263" t="s">
        <v>88</v>
      </c>
      <c r="D263">
        <v>2</v>
      </c>
      <c r="E263">
        <v>3</v>
      </c>
      <c r="F263">
        <v>2</v>
      </c>
      <c r="G263">
        <v>2</v>
      </c>
      <c r="H263">
        <v>2</v>
      </c>
      <c r="I263">
        <v>8</v>
      </c>
      <c r="J263" s="11" t="s">
        <v>111</v>
      </c>
    </row>
    <row r="264" spans="1:10" ht="15" customHeight="1" x14ac:dyDescent="0.25">
      <c r="A264" t="s">
        <v>464</v>
      </c>
      <c r="B264" t="s">
        <v>73</v>
      </c>
      <c r="C264" t="s">
        <v>88</v>
      </c>
      <c r="D264">
        <v>5</v>
      </c>
      <c r="E264">
        <v>5</v>
      </c>
      <c r="F264">
        <v>4</v>
      </c>
      <c r="G264">
        <v>4</v>
      </c>
      <c r="H264">
        <v>4</v>
      </c>
      <c r="I264">
        <v>7</v>
      </c>
      <c r="J264" s="11" t="s">
        <v>465</v>
      </c>
    </row>
    <row r="265" spans="1:10" ht="15" customHeight="1" x14ac:dyDescent="0.25">
      <c r="A265" t="s">
        <v>466</v>
      </c>
      <c r="B265" t="s">
        <v>118</v>
      </c>
      <c r="C265" t="s">
        <v>85</v>
      </c>
      <c r="D265">
        <v>4</v>
      </c>
      <c r="E265">
        <v>5</v>
      </c>
      <c r="F265">
        <v>3</v>
      </c>
      <c r="G265">
        <v>4</v>
      </c>
      <c r="H265">
        <v>5</v>
      </c>
      <c r="I265">
        <v>6</v>
      </c>
      <c r="J265" s="11" t="s">
        <v>125</v>
      </c>
    </row>
    <row r="266" spans="1:10" ht="15" customHeight="1" x14ac:dyDescent="0.25">
      <c r="A266" t="s">
        <v>467</v>
      </c>
      <c r="B266" t="s">
        <v>118</v>
      </c>
      <c r="C266" t="s">
        <v>85</v>
      </c>
      <c r="D266">
        <v>4</v>
      </c>
      <c r="E266">
        <v>4</v>
      </c>
      <c r="F266">
        <v>4</v>
      </c>
      <c r="G266">
        <v>4</v>
      </c>
      <c r="H266">
        <v>4</v>
      </c>
      <c r="I266">
        <v>7</v>
      </c>
      <c r="J266" s="11" t="s">
        <v>261</v>
      </c>
    </row>
    <row r="267" spans="1:10" ht="15" customHeight="1" x14ac:dyDescent="0.25">
      <c r="A267" t="s">
        <v>468</v>
      </c>
      <c r="B267" t="s">
        <v>118</v>
      </c>
      <c r="C267" t="s">
        <v>85</v>
      </c>
      <c r="D267">
        <v>4</v>
      </c>
      <c r="E267">
        <v>3</v>
      </c>
      <c r="F267">
        <v>2</v>
      </c>
      <c r="G267">
        <v>3</v>
      </c>
      <c r="H267">
        <v>2</v>
      </c>
      <c r="I267">
        <v>4</v>
      </c>
      <c r="J267" s="11" t="s">
        <v>469</v>
      </c>
    </row>
    <row r="268" spans="1:10" ht="27.75" customHeight="1" x14ac:dyDescent="0.25">
      <c r="A268" t="s">
        <v>470</v>
      </c>
      <c r="B268" t="s">
        <v>91</v>
      </c>
      <c r="C268" t="s">
        <v>88</v>
      </c>
      <c r="D268">
        <v>4</v>
      </c>
      <c r="E268">
        <v>5</v>
      </c>
      <c r="F268">
        <v>4</v>
      </c>
      <c r="G268">
        <v>3</v>
      </c>
      <c r="H268">
        <v>4</v>
      </c>
      <c r="I268">
        <v>9</v>
      </c>
      <c r="J268" s="11" t="s">
        <v>155</v>
      </c>
    </row>
    <row r="269" spans="1:10" ht="27.75" customHeight="1" x14ac:dyDescent="0.25">
      <c r="A269" t="s">
        <v>471</v>
      </c>
      <c r="B269" t="s">
        <v>73</v>
      </c>
      <c r="C269" t="s">
        <v>85</v>
      </c>
      <c r="D269">
        <v>4</v>
      </c>
      <c r="E269">
        <v>3</v>
      </c>
      <c r="F269">
        <v>5</v>
      </c>
      <c r="G269">
        <v>5</v>
      </c>
      <c r="H269">
        <v>4</v>
      </c>
      <c r="I269">
        <v>10</v>
      </c>
      <c r="J269" s="11" t="s">
        <v>224</v>
      </c>
    </row>
    <row r="270" spans="1:10" ht="27.75" customHeight="1" x14ac:dyDescent="0.25">
      <c r="A270" t="s">
        <v>472</v>
      </c>
      <c r="B270" t="s">
        <v>108</v>
      </c>
      <c r="C270" t="s">
        <v>94</v>
      </c>
      <c r="D270">
        <v>3</v>
      </c>
      <c r="E270">
        <v>2</v>
      </c>
      <c r="F270">
        <v>3</v>
      </c>
      <c r="G270">
        <v>2</v>
      </c>
      <c r="H270">
        <v>2</v>
      </c>
      <c r="I270">
        <v>4</v>
      </c>
      <c r="J270" s="11" t="s">
        <v>473</v>
      </c>
    </row>
    <row r="271" spans="1:10" ht="15" customHeight="1" x14ac:dyDescent="0.25">
      <c r="A271" t="s">
        <v>474</v>
      </c>
      <c r="B271" t="s">
        <v>118</v>
      </c>
      <c r="C271" t="s">
        <v>94</v>
      </c>
      <c r="D271">
        <v>4</v>
      </c>
      <c r="E271">
        <v>3</v>
      </c>
      <c r="F271">
        <v>3</v>
      </c>
      <c r="G271">
        <v>1</v>
      </c>
      <c r="H271">
        <v>2</v>
      </c>
      <c r="I271">
        <v>3</v>
      </c>
      <c r="J271" s="11" t="s">
        <v>258</v>
      </c>
    </row>
    <row r="272" spans="1:10" ht="15" customHeight="1" x14ac:dyDescent="0.25">
      <c r="A272" t="s">
        <v>475</v>
      </c>
      <c r="B272" t="s">
        <v>77</v>
      </c>
      <c r="C272" t="s">
        <v>94</v>
      </c>
      <c r="D272">
        <v>5</v>
      </c>
      <c r="E272">
        <v>4</v>
      </c>
      <c r="F272">
        <v>3</v>
      </c>
      <c r="G272">
        <v>3</v>
      </c>
      <c r="H272">
        <v>4</v>
      </c>
      <c r="I272">
        <v>6</v>
      </c>
      <c r="J272" s="11" t="s">
        <v>172</v>
      </c>
    </row>
    <row r="273" spans="1:10" ht="15" customHeight="1" x14ac:dyDescent="0.25">
      <c r="A273" t="s">
        <v>476</v>
      </c>
      <c r="B273" t="s">
        <v>91</v>
      </c>
      <c r="C273" t="s">
        <v>74</v>
      </c>
      <c r="D273">
        <v>3</v>
      </c>
      <c r="E273">
        <v>2</v>
      </c>
      <c r="F273">
        <v>3</v>
      </c>
      <c r="G273">
        <v>2</v>
      </c>
      <c r="H273">
        <v>3</v>
      </c>
      <c r="I273">
        <v>7</v>
      </c>
      <c r="J273" s="11" t="s">
        <v>477</v>
      </c>
    </row>
    <row r="274" spans="1:10" ht="15" customHeight="1" x14ac:dyDescent="0.25">
      <c r="A274" t="s">
        <v>478</v>
      </c>
      <c r="B274" t="s">
        <v>118</v>
      </c>
      <c r="C274" t="s">
        <v>74</v>
      </c>
      <c r="D274">
        <v>3</v>
      </c>
      <c r="E274">
        <v>4</v>
      </c>
      <c r="F274">
        <v>3</v>
      </c>
      <c r="G274">
        <v>3</v>
      </c>
      <c r="H274">
        <v>4</v>
      </c>
      <c r="I274">
        <v>4</v>
      </c>
      <c r="J274" s="11" t="s">
        <v>141</v>
      </c>
    </row>
    <row r="275" spans="1:10" ht="27.75" customHeight="1" x14ac:dyDescent="0.25">
      <c r="A275" t="s">
        <v>479</v>
      </c>
      <c r="B275" t="s">
        <v>77</v>
      </c>
      <c r="C275" t="s">
        <v>85</v>
      </c>
      <c r="D275">
        <v>4</v>
      </c>
      <c r="E275">
        <v>2</v>
      </c>
      <c r="F275">
        <v>3</v>
      </c>
      <c r="G275">
        <v>2</v>
      </c>
      <c r="H275">
        <v>5</v>
      </c>
      <c r="I275">
        <v>1</v>
      </c>
      <c r="J275" s="11" t="s">
        <v>417</v>
      </c>
    </row>
    <row r="276" spans="1:10" ht="15" customHeight="1" x14ac:dyDescent="0.25">
      <c r="A276" t="s">
        <v>480</v>
      </c>
      <c r="B276" t="s">
        <v>82</v>
      </c>
      <c r="C276" t="s">
        <v>74</v>
      </c>
      <c r="D276">
        <v>3</v>
      </c>
      <c r="E276">
        <v>3</v>
      </c>
      <c r="F276">
        <v>5</v>
      </c>
      <c r="G276">
        <v>4</v>
      </c>
      <c r="H276">
        <v>3</v>
      </c>
      <c r="I276">
        <v>6</v>
      </c>
      <c r="J276" s="11" t="s">
        <v>261</v>
      </c>
    </row>
    <row r="277" spans="1:10" ht="15" customHeight="1" x14ac:dyDescent="0.25">
      <c r="A277" t="s">
        <v>481</v>
      </c>
      <c r="B277" t="s">
        <v>82</v>
      </c>
      <c r="C277" t="s">
        <v>74</v>
      </c>
      <c r="D277">
        <v>4</v>
      </c>
      <c r="E277">
        <v>4</v>
      </c>
      <c r="F277">
        <v>3</v>
      </c>
      <c r="G277">
        <v>4</v>
      </c>
      <c r="H277">
        <v>4</v>
      </c>
      <c r="I277">
        <v>9</v>
      </c>
      <c r="J277" s="11" t="s">
        <v>78</v>
      </c>
    </row>
    <row r="278" spans="1:10" ht="15" customHeight="1" x14ac:dyDescent="0.25">
      <c r="A278" t="s">
        <v>482</v>
      </c>
      <c r="B278" t="s">
        <v>118</v>
      </c>
      <c r="C278" t="s">
        <v>88</v>
      </c>
      <c r="D278">
        <v>4</v>
      </c>
      <c r="E278">
        <v>3</v>
      </c>
      <c r="F278">
        <v>4</v>
      </c>
      <c r="G278">
        <v>4</v>
      </c>
      <c r="H278">
        <v>3</v>
      </c>
      <c r="I278">
        <v>6</v>
      </c>
      <c r="J278" s="11" t="s">
        <v>75</v>
      </c>
    </row>
    <row r="279" spans="1:10" ht="27.75" customHeight="1" x14ac:dyDescent="0.25">
      <c r="A279" t="s">
        <v>483</v>
      </c>
      <c r="B279" t="s">
        <v>108</v>
      </c>
      <c r="C279" t="s">
        <v>85</v>
      </c>
      <c r="D279">
        <v>4</v>
      </c>
      <c r="E279">
        <v>3</v>
      </c>
      <c r="F279">
        <v>4</v>
      </c>
      <c r="G279">
        <v>3</v>
      </c>
      <c r="H279">
        <v>4</v>
      </c>
      <c r="I279">
        <v>7</v>
      </c>
      <c r="J279" s="11" t="s">
        <v>251</v>
      </c>
    </row>
    <row r="280" spans="1:10" ht="27.75" customHeight="1" x14ac:dyDescent="0.25">
      <c r="A280" t="s">
        <v>484</v>
      </c>
      <c r="B280" t="s">
        <v>73</v>
      </c>
      <c r="C280" t="s">
        <v>88</v>
      </c>
      <c r="D280">
        <v>2</v>
      </c>
      <c r="E280">
        <v>1</v>
      </c>
      <c r="F280">
        <v>3</v>
      </c>
      <c r="G280">
        <v>2</v>
      </c>
      <c r="H280">
        <v>3</v>
      </c>
      <c r="I280">
        <v>2</v>
      </c>
      <c r="J280" s="11" t="s">
        <v>219</v>
      </c>
    </row>
    <row r="281" spans="1:10" ht="15" customHeight="1" x14ac:dyDescent="0.25">
      <c r="A281" t="s">
        <v>485</v>
      </c>
      <c r="B281" t="s">
        <v>108</v>
      </c>
      <c r="C281" t="s">
        <v>94</v>
      </c>
      <c r="D281">
        <v>3</v>
      </c>
      <c r="E281">
        <v>2</v>
      </c>
      <c r="F281">
        <v>2</v>
      </c>
      <c r="G281">
        <v>3</v>
      </c>
      <c r="H281">
        <v>4</v>
      </c>
      <c r="I281">
        <v>3</v>
      </c>
      <c r="J281" s="11" t="s">
        <v>99</v>
      </c>
    </row>
    <row r="282" spans="1:10" ht="15" customHeight="1" x14ac:dyDescent="0.25">
      <c r="A282" t="s">
        <v>486</v>
      </c>
      <c r="B282" t="s">
        <v>108</v>
      </c>
      <c r="C282" t="s">
        <v>94</v>
      </c>
      <c r="D282">
        <v>4</v>
      </c>
      <c r="E282">
        <v>2</v>
      </c>
      <c r="F282">
        <v>3</v>
      </c>
      <c r="G282">
        <v>3</v>
      </c>
      <c r="H282">
        <v>2</v>
      </c>
      <c r="I282">
        <v>6</v>
      </c>
      <c r="J282" s="11" t="s">
        <v>232</v>
      </c>
    </row>
    <row r="283" spans="1:10" ht="15" customHeight="1" x14ac:dyDescent="0.25">
      <c r="A283" t="s">
        <v>487</v>
      </c>
      <c r="B283" t="s">
        <v>118</v>
      </c>
      <c r="C283" t="s">
        <v>88</v>
      </c>
      <c r="D283">
        <v>2</v>
      </c>
      <c r="E283">
        <v>2</v>
      </c>
      <c r="F283">
        <v>5</v>
      </c>
      <c r="G283">
        <v>2</v>
      </c>
      <c r="H283">
        <v>3</v>
      </c>
      <c r="I283">
        <v>5</v>
      </c>
      <c r="J283" s="11" t="s">
        <v>488</v>
      </c>
    </row>
    <row r="284" spans="1:10" ht="27.75" customHeight="1" x14ac:dyDescent="0.25">
      <c r="A284" t="s">
        <v>489</v>
      </c>
      <c r="B284" t="s">
        <v>91</v>
      </c>
      <c r="C284" t="s">
        <v>85</v>
      </c>
      <c r="D284">
        <v>4</v>
      </c>
      <c r="E284">
        <v>4</v>
      </c>
      <c r="F284">
        <v>3</v>
      </c>
      <c r="G284">
        <v>3</v>
      </c>
      <c r="H284">
        <v>4</v>
      </c>
      <c r="I284">
        <v>6</v>
      </c>
      <c r="J284" s="11" t="s">
        <v>490</v>
      </c>
    </row>
    <row r="285" spans="1:10" ht="27.75" customHeight="1" x14ac:dyDescent="0.25">
      <c r="A285" t="s">
        <v>491</v>
      </c>
      <c r="B285" t="s">
        <v>108</v>
      </c>
      <c r="C285" t="s">
        <v>88</v>
      </c>
      <c r="D285">
        <v>4</v>
      </c>
      <c r="E285">
        <v>4</v>
      </c>
      <c r="F285">
        <v>3</v>
      </c>
      <c r="G285">
        <v>4</v>
      </c>
      <c r="H285">
        <v>3</v>
      </c>
      <c r="I285">
        <v>2</v>
      </c>
      <c r="J285" s="11" t="s">
        <v>492</v>
      </c>
    </row>
    <row r="286" spans="1:10" ht="15" customHeight="1" x14ac:dyDescent="0.25">
      <c r="A286" t="s">
        <v>493</v>
      </c>
      <c r="B286" t="s">
        <v>118</v>
      </c>
      <c r="C286" t="s">
        <v>88</v>
      </c>
      <c r="D286">
        <v>2</v>
      </c>
      <c r="E286">
        <v>3</v>
      </c>
      <c r="F286">
        <v>3</v>
      </c>
      <c r="G286">
        <v>5</v>
      </c>
      <c r="H286">
        <v>3</v>
      </c>
      <c r="I286">
        <v>5</v>
      </c>
      <c r="J286" s="11" t="s">
        <v>494</v>
      </c>
    </row>
    <row r="287" spans="1:10" ht="15" customHeight="1" x14ac:dyDescent="0.25">
      <c r="A287" t="s">
        <v>495</v>
      </c>
      <c r="B287" t="s">
        <v>118</v>
      </c>
      <c r="C287" t="s">
        <v>85</v>
      </c>
      <c r="D287">
        <v>4</v>
      </c>
      <c r="E287">
        <v>3</v>
      </c>
      <c r="F287">
        <v>4</v>
      </c>
      <c r="G287">
        <v>5</v>
      </c>
      <c r="H287">
        <v>4</v>
      </c>
      <c r="I287">
        <v>8</v>
      </c>
      <c r="J287" s="11" t="s">
        <v>86</v>
      </c>
    </row>
    <row r="288" spans="1:10" ht="15" customHeight="1" x14ac:dyDescent="0.25">
      <c r="A288" t="s">
        <v>496</v>
      </c>
      <c r="B288" t="s">
        <v>108</v>
      </c>
      <c r="C288" t="s">
        <v>85</v>
      </c>
      <c r="D288">
        <v>4</v>
      </c>
      <c r="E288">
        <v>4</v>
      </c>
      <c r="F288">
        <v>4</v>
      </c>
      <c r="G288">
        <v>3</v>
      </c>
      <c r="H288">
        <v>4</v>
      </c>
      <c r="I288">
        <v>7</v>
      </c>
      <c r="J288" s="11" t="s">
        <v>121</v>
      </c>
    </row>
    <row r="289" spans="1:10" ht="15" customHeight="1" x14ac:dyDescent="0.25">
      <c r="A289" t="s">
        <v>497</v>
      </c>
      <c r="B289" t="s">
        <v>77</v>
      </c>
      <c r="C289" t="s">
        <v>88</v>
      </c>
      <c r="D289">
        <v>4</v>
      </c>
      <c r="E289">
        <v>4</v>
      </c>
      <c r="F289">
        <v>3</v>
      </c>
      <c r="G289">
        <v>5</v>
      </c>
      <c r="H289">
        <v>2</v>
      </c>
      <c r="I289">
        <v>8</v>
      </c>
      <c r="J289" s="11" t="s">
        <v>261</v>
      </c>
    </row>
    <row r="290" spans="1:10" ht="15" customHeight="1" x14ac:dyDescent="0.25">
      <c r="A290" t="s">
        <v>498</v>
      </c>
      <c r="B290" t="s">
        <v>91</v>
      </c>
      <c r="C290" t="s">
        <v>74</v>
      </c>
      <c r="D290">
        <v>3</v>
      </c>
      <c r="E290">
        <v>2</v>
      </c>
      <c r="F290">
        <v>3</v>
      </c>
      <c r="G290">
        <v>2</v>
      </c>
      <c r="H290">
        <v>4</v>
      </c>
      <c r="I290">
        <v>3</v>
      </c>
      <c r="J290" s="11" t="s">
        <v>101</v>
      </c>
    </row>
    <row r="291" spans="1:10" ht="27.75" customHeight="1" x14ac:dyDescent="0.25">
      <c r="A291" t="s">
        <v>499</v>
      </c>
      <c r="B291" t="s">
        <v>82</v>
      </c>
      <c r="C291" t="s">
        <v>85</v>
      </c>
      <c r="D291">
        <v>2</v>
      </c>
      <c r="E291">
        <v>2</v>
      </c>
      <c r="F291">
        <v>3</v>
      </c>
      <c r="G291">
        <v>2</v>
      </c>
      <c r="H291">
        <v>2</v>
      </c>
      <c r="I291">
        <v>8</v>
      </c>
      <c r="J291" s="11" t="s">
        <v>500</v>
      </c>
    </row>
    <row r="292" spans="1:10" ht="15" customHeight="1" x14ac:dyDescent="0.25">
      <c r="A292" t="s">
        <v>501</v>
      </c>
      <c r="B292" t="s">
        <v>77</v>
      </c>
      <c r="C292" t="s">
        <v>74</v>
      </c>
      <c r="D292">
        <v>3</v>
      </c>
      <c r="E292">
        <v>2</v>
      </c>
      <c r="F292">
        <v>2</v>
      </c>
      <c r="G292">
        <v>3</v>
      </c>
      <c r="H292">
        <v>4</v>
      </c>
      <c r="I292">
        <v>3</v>
      </c>
      <c r="J292" s="11" t="s">
        <v>101</v>
      </c>
    </row>
    <row r="293" spans="1:10" ht="27.75" customHeight="1" x14ac:dyDescent="0.25">
      <c r="A293" t="s">
        <v>502</v>
      </c>
      <c r="B293" t="s">
        <v>108</v>
      </c>
      <c r="C293" t="s">
        <v>88</v>
      </c>
      <c r="D293">
        <v>4</v>
      </c>
      <c r="E293">
        <v>2</v>
      </c>
      <c r="F293">
        <v>4</v>
      </c>
      <c r="G293">
        <v>4</v>
      </c>
      <c r="H293">
        <v>3</v>
      </c>
      <c r="I293">
        <v>10</v>
      </c>
      <c r="J293" s="11" t="s">
        <v>490</v>
      </c>
    </row>
    <row r="294" spans="1:10" ht="15" customHeight="1" x14ac:dyDescent="0.25">
      <c r="A294" t="s">
        <v>503</v>
      </c>
      <c r="B294" t="s">
        <v>108</v>
      </c>
      <c r="C294" t="s">
        <v>85</v>
      </c>
      <c r="D294">
        <v>4</v>
      </c>
      <c r="E294">
        <v>4</v>
      </c>
      <c r="F294">
        <v>2</v>
      </c>
      <c r="G294">
        <v>2</v>
      </c>
      <c r="H294">
        <v>5</v>
      </c>
      <c r="I294">
        <v>6</v>
      </c>
      <c r="J294" s="11" t="s">
        <v>261</v>
      </c>
    </row>
    <row r="295" spans="1:10" ht="15" customHeight="1" x14ac:dyDescent="0.25">
      <c r="A295" t="s">
        <v>504</v>
      </c>
      <c r="B295" t="s">
        <v>118</v>
      </c>
      <c r="C295" t="s">
        <v>85</v>
      </c>
      <c r="D295">
        <v>5</v>
      </c>
      <c r="E295">
        <v>3</v>
      </c>
      <c r="F295">
        <v>4</v>
      </c>
      <c r="G295">
        <v>4</v>
      </c>
      <c r="H295">
        <v>5</v>
      </c>
      <c r="I295">
        <v>7</v>
      </c>
      <c r="J295" s="11" t="s">
        <v>192</v>
      </c>
    </row>
    <row r="296" spans="1:10" ht="15" customHeight="1" x14ac:dyDescent="0.25">
      <c r="A296" t="s">
        <v>505</v>
      </c>
      <c r="B296" t="s">
        <v>108</v>
      </c>
      <c r="C296" t="s">
        <v>85</v>
      </c>
      <c r="D296">
        <v>5</v>
      </c>
      <c r="E296">
        <v>4</v>
      </c>
      <c r="F296">
        <v>5</v>
      </c>
      <c r="G296">
        <v>3</v>
      </c>
      <c r="H296">
        <v>3</v>
      </c>
      <c r="I296">
        <v>7</v>
      </c>
      <c r="J296" s="11" t="s">
        <v>181</v>
      </c>
    </row>
    <row r="297" spans="1:10" ht="15" customHeight="1" x14ac:dyDescent="0.25">
      <c r="A297" t="s">
        <v>506</v>
      </c>
      <c r="B297" t="s">
        <v>73</v>
      </c>
      <c r="C297" t="s">
        <v>94</v>
      </c>
      <c r="D297">
        <v>5</v>
      </c>
      <c r="E297">
        <v>4</v>
      </c>
      <c r="F297">
        <v>4</v>
      </c>
      <c r="G297">
        <v>4</v>
      </c>
      <c r="H297">
        <v>5</v>
      </c>
      <c r="I297">
        <v>9</v>
      </c>
      <c r="J297" s="11" t="s">
        <v>86</v>
      </c>
    </row>
    <row r="298" spans="1:10" ht="27.75" customHeight="1" x14ac:dyDescent="0.25">
      <c r="A298" t="s">
        <v>507</v>
      </c>
      <c r="B298" t="s">
        <v>73</v>
      </c>
      <c r="C298" t="s">
        <v>85</v>
      </c>
      <c r="D298">
        <v>2</v>
      </c>
      <c r="E298">
        <v>3</v>
      </c>
      <c r="F298">
        <v>4</v>
      </c>
      <c r="G298">
        <v>3</v>
      </c>
      <c r="H298">
        <v>3</v>
      </c>
      <c r="I298">
        <v>9</v>
      </c>
      <c r="J298" s="11" t="s">
        <v>207</v>
      </c>
    </row>
    <row r="299" spans="1:10" ht="15" customHeight="1" x14ac:dyDescent="0.25">
      <c r="A299" t="s">
        <v>508</v>
      </c>
      <c r="B299" t="s">
        <v>77</v>
      </c>
      <c r="C299" t="s">
        <v>94</v>
      </c>
      <c r="D299">
        <v>4</v>
      </c>
      <c r="E299">
        <v>3</v>
      </c>
      <c r="F299">
        <v>3</v>
      </c>
      <c r="G299">
        <v>3</v>
      </c>
      <c r="H299">
        <v>4</v>
      </c>
      <c r="I299">
        <v>9</v>
      </c>
      <c r="J299" s="11" t="s">
        <v>121</v>
      </c>
    </row>
    <row r="300" spans="1:10" ht="27.75" customHeight="1" x14ac:dyDescent="0.25">
      <c r="A300" t="s">
        <v>509</v>
      </c>
      <c r="B300" t="s">
        <v>77</v>
      </c>
      <c r="C300" t="s">
        <v>94</v>
      </c>
      <c r="D300">
        <v>2</v>
      </c>
      <c r="E300">
        <v>3</v>
      </c>
      <c r="F300">
        <v>2</v>
      </c>
      <c r="G300">
        <v>4</v>
      </c>
      <c r="H300">
        <v>3</v>
      </c>
      <c r="I300">
        <v>7</v>
      </c>
      <c r="J300" s="11" t="s">
        <v>510</v>
      </c>
    </row>
    <row r="301" spans="1:10" ht="27.75" customHeight="1" x14ac:dyDescent="0.25">
      <c r="A301" t="s">
        <v>511</v>
      </c>
      <c r="B301" t="s">
        <v>73</v>
      </c>
      <c r="C301" t="s">
        <v>85</v>
      </c>
      <c r="D301">
        <v>4</v>
      </c>
      <c r="E301">
        <v>4</v>
      </c>
      <c r="F301">
        <v>4</v>
      </c>
      <c r="G301">
        <v>4</v>
      </c>
      <c r="H301">
        <v>3</v>
      </c>
      <c r="I301">
        <v>6</v>
      </c>
      <c r="J301" s="11" t="s">
        <v>263</v>
      </c>
    </row>
  </sheetData>
  <autoFilter ref="A1:J30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01"/>
  <sheetViews>
    <sheetView zoomScaleNormal="100" workbookViewId="0">
      <pane ySplit="1" topLeftCell="A2" activePane="bottomLeft" state="frozen"/>
      <selection pane="bottomLeft"/>
    </sheetView>
  </sheetViews>
  <sheetFormatPr defaultColWidth="8.6640625" defaultRowHeight="13.2" x14ac:dyDescent="0.25"/>
  <cols>
    <col min="1" max="1" width="13" customWidth="1"/>
    <col min="2" max="2" width="23" customWidth="1"/>
    <col min="3" max="3" width="11" customWidth="1"/>
  </cols>
  <sheetData>
    <row r="1" spans="1:3" ht="15" customHeight="1" x14ac:dyDescent="0.25">
      <c r="A1" s="8" t="s">
        <v>62</v>
      </c>
      <c r="B1" s="8" t="s">
        <v>512</v>
      </c>
      <c r="C1" s="8" t="s">
        <v>513</v>
      </c>
    </row>
    <row r="2" spans="1:3" ht="15" customHeight="1" x14ac:dyDescent="0.25">
      <c r="A2" t="s">
        <v>72</v>
      </c>
      <c r="B2" t="s">
        <v>514</v>
      </c>
      <c r="C2" t="s">
        <v>515</v>
      </c>
    </row>
    <row r="3" spans="1:3" ht="15" customHeight="1" x14ac:dyDescent="0.25">
      <c r="A3" t="s">
        <v>76</v>
      </c>
      <c r="B3" t="s">
        <v>516</v>
      </c>
      <c r="C3" t="s">
        <v>515</v>
      </c>
    </row>
    <row r="4" spans="1:3" ht="15" customHeight="1" x14ac:dyDescent="0.25">
      <c r="A4" t="s">
        <v>79</v>
      </c>
      <c r="B4" t="s">
        <v>517</v>
      </c>
      <c r="C4" t="s">
        <v>515</v>
      </c>
    </row>
    <row r="5" spans="1:3" ht="15" customHeight="1" x14ac:dyDescent="0.25">
      <c r="A5" t="s">
        <v>81</v>
      </c>
      <c r="B5" t="s">
        <v>518</v>
      </c>
      <c r="C5" t="s">
        <v>519</v>
      </c>
    </row>
    <row r="6" spans="1:3" ht="15" customHeight="1" x14ac:dyDescent="0.25">
      <c r="A6" t="s">
        <v>84</v>
      </c>
      <c r="B6" t="s">
        <v>520</v>
      </c>
      <c r="C6" t="s">
        <v>515</v>
      </c>
    </row>
    <row r="7" spans="1:3" ht="15" customHeight="1" x14ac:dyDescent="0.25">
      <c r="A7" t="s">
        <v>87</v>
      </c>
      <c r="B7" t="s">
        <v>521</v>
      </c>
      <c r="C7" t="s">
        <v>519</v>
      </c>
    </row>
    <row r="8" spans="1:3" ht="15" customHeight="1" x14ac:dyDescent="0.25">
      <c r="A8" t="s">
        <v>90</v>
      </c>
      <c r="B8" t="s">
        <v>520</v>
      </c>
      <c r="C8" t="s">
        <v>519</v>
      </c>
    </row>
    <row r="9" spans="1:3" ht="15" customHeight="1" x14ac:dyDescent="0.25">
      <c r="A9" t="s">
        <v>93</v>
      </c>
      <c r="B9" t="s">
        <v>522</v>
      </c>
      <c r="C9" t="s">
        <v>519</v>
      </c>
    </row>
    <row r="10" spans="1:3" ht="15" customHeight="1" x14ac:dyDescent="0.25">
      <c r="A10" t="s">
        <v>96</v>
      </c>
      <c r="B10" t="s">
        <v>514</v>
      </c>
      <c r="C10" t="s">
        <v>519</v>
      </c>
    </row>
    <row r="11" spans="1:3" ht="15" customHeight="1" x14ac:dyDescent="0.25">
      <c r="A11" t="s">
        <v>98</v>
      </c>
      <c r="B11" t="s">
        <v>520</v>
      </c>
      <c r="C11" t="s">
        <v>519</v>
      </c>
    </row>
    <row r="12" spans="1:3" ht="15" customHeight="1" x14ac:dyDescent="0.25">
      <c r="A12" t="s">
        <v>100</v>
      </c>
      <c r="B12" t="s">
        <v>516</v>
      </c>
      <c r="C12" t="s">
        <v>519</v>
      </c>
    </row>
    <row r="13" spans="1:3" ht="15" customHeight="1" x14ac:dyDescent="0.25">
      <c r="A13" t="s">
        <v>102</v>
      </c>
      <c r="B13" t="s">
        <v>520</v>
      </c>
      <c r="C13" t="s">
        <v>519</v>
      </c>
    </row>
    <row r="14" spans="1:3" ht="15" customHeight="1" x14ac:dyDescent="0.25">
      <c r="A14" t="s">
        <v>103</v>
      </c>
      <c r="B14" t="s">
        <v>523</v>
      </c>
      <c r="C14" t="s">
        <v>519</v>
      </c>
    </row>
    <row r="15" spans="1:3" ht="15" customHeight="1" x14ac:dyDescent="0.25">
      <c r="A15" t="s">
        <v>105</v>
      </c>
      <c r="B15" t="s">
        <v>523</v>
      </c>
      <c r="C15" t="s">
        <v>515</v>
      </c>
    </row>
    <row r="16" spans="1:3" ht="15" customHeight="1" x14ac:dyDescent="0.25">
      <c r="A16" t="s">
        <v>107</v>
      </c>
      <c r="B16" t="s">
        <v>524</v>
      </c>
      <c r="C16" t="s">
        <v>519</v>
      </c>
    </row>
    <row r="17" spans="1:3" ht="15" customHeight="1" x14ac:dyDescent="0.25">
      <c r="A17" t="s">
        <v>110</v>
      </c>
      <c r="B17" t="s">
        <v>525</v>
      </c>
      <c r="C17" t="s">
        <v>519</v>
      </c>
    </row>
    <row r="18" spans="1:3" ht="15" customHeight="1" x14ac:dyDescent="0.25">
      <c r="A18" t="s">
        <v>112</v>
      </c>
      <c r="B18" t="s">
        <v>516</v>
      </c>
      <c r="C18" t="s">
        <v>519</v>
      </c>
    </row>
    <row r="19" spans="1:3" ht="15" customHeight="1" x14ac:dyDescent="0.25">
      <c r="A19" t="s">
        <v>113</v>
      </c>
      <c r="B19" t="s">
        <v>526</v>
      </c>
      <c r="C19" t="s">
        <v>519</v>
      </c>
    </row>
    <row r="20" spans="1:3" ht="15" customHeight="1" x14ac:dyDescent="0.25">
      <c r="A20" t="s">
        <v>115</v>
      </c>
      <c r="B20" t="s">
        <v>527</v>
      </c>
      <c r="C20" t="s">
        <v>519</v>
      </c>
    </row>
    <row r="21" spans="1:3" ht="15" customHeight="1" x14ac:dyDescent="0.25">
      <c r="A21" t="s">
        <v>117</v>
      </c>
      <c r="B21" t="s">
        <v>528</v>
      </c>
      <c r="C21" t="s">
        <v>519</v>
      </c>
    </row>
    <row r="22" spans="1:3" ht="15" customHeight="1" x14ac:dyDescent="0.25">
      <c r="A22" t="s">
        <v>120</v>
      </c>
      <c r="B22" t="s">
        <v>525</v>
      </c>
      <c r="C22" t="s">
        <v>515</v>
      </c>
    </row>
    <row r="23" spans="1:3" ht="15" customHeight="1" x14ac:dyDescent="0.25">
      <c r="A23" t="s">
        <v>122</v>
      </c>
      <c r="B23" t="s">
        <v>524</v>
      </c>
      <c r="C23" t="s">
        <v>515</v>
      </c>
    </row>
    <row r="24" spans="1:3" ht="15" customHeight="1" x14ac:dyDescent="0.25">
      <c r="A24" t="s">
        <v>124</v>
      </c>
      <c r="B24" t="s">
        <v>528</v>
      </c>
      <c r="C24" t="s">
        <v>515</v>
      </c>
    </row>
    <row r="25" spans="1:3" ht="15" customHeight="1" x14ac:dyDescent="0.25">
      <c r="A25" t="s">
        <v>126</v>
      </c>
      <c r="B25" t="s">
        <v>529</v>
      </c>
      <c r="C25" t="s">
        <v>515</v>
      </c>
    </row>
    <row r="26" spans="1:3" ht="15" customHeight="1" x14ac:dyDescent="0.25">
      <c r="A26" t="s">
        <v>128</v>
      </c>
      <c r="B26" t="s">
        <v>530</v>
      </c>
      <c r="C26" t="s">
        <v>519</v>
      </c>
    </row>
    <row r="27" spans="1:3" ht="15" customHeight="1" x14ac:dyDescent="0.25">
      <c r="A27" t="s">
        <v>130</v>
      </c>
      <c r="B27" t="s">
        <v>531</v>
      </c>
      <c r="C27" t="s">
        <v>515</v>
      </c>
    </row>
    <row r="28" spans="1:3" ht="15" customHeight="1" x14ac:dyDescent="0.25">
      <c r="A28" t="s">
        <v>132</v>
      </c>
      <c r="B28" t="s">
        <v>516</v>
      </c>
      <c r="C28" t="s">
        <v>515</v>
      </c>
    </row>
    <row r="29" spans="1:3" ht="15" customHeight="1" x14ac:dyDescent="0.25">
      <c r="A29" t="s">
        <v>133</v>
      </c>
      <c r="B29" t="s">
        <v>517</v>
      </c>
      <c r="C29" t="s">
        <v>515</v>
      </c>
    </row>
    <row r="30" spans="1:3" ht="15" customHeight="1" x14ac:dyDescent="0.25">
      <c r="A30" t="s">
        <v>135</v>
      </c>
      <c r="B30" t="s">
        <v>532</v>
      </c>
      <c r="C30" t="s">
        <v>515</v>
      </c>
    </row>
    <row r="31" spans="1:3" ht="15" customHeight="1" x14ac:dyDescent="0.25">
      <c r="A31" t="s">
        <v>137</v>
      </c>
      <c r="B31" t="s">
        <v>522</v>
      </c>
      <c r="C31" t="s">
        <v>515</v>
      </c>
    </row>
    <row r="32" spans="1:3" ht="15" customHeight="1" x14ac:dyDescent="0.25">
      <c r="A32" t="s">
        <v>139</v>
      </c>
      <c r="B32" t="s">
        <v>525</v>
      </c>
      <c r="C32" t="s">
        <v>515</v>
      </c>
    </row>
    <row r="33" spans="1:3" ht="15" customHeight="1" x14ac:dyDescent="0.25">
      <c r="A33" t="s">
        <v>140</v>
      </c>
      <c r="B33" t="s">
        <v>521</v>
      </c>
      <c r="C33" t="s">
        <v>519</v>
      </c>
    </row>
    <row r="34" spans="1:3" ht="15" customHeight="1" x14ac:dyDescent="0.25">
      <c r="A34" t="s">
        <v>142</v>
      </c>
      <c r="B34" t="s">
        <v>523</v>
      </c>
      <c r="C34" t="s">
        <v>519</v>
      </c>
    </row>
    <row r="35" spans="1:3" ht="15" customHeight="1" x14ac:dyDescent="0.25">
      <c r="A35" t="s">
        <v>143</v>
      </c>
      <c r="B35" t="s">
        <v>533</v>
      </c>
      <c r="C35" t="s">
        <v>515</v>
      </c>
    </row>
    <row r="36" spans="1:3" ht="15" customHeight="1" x14ac:dyDescent="0.25">
      <c r="A36" t="s">
        <v>145</v>
      </c>
      <c r="B36" t="s">
        <v>534</v>
      </c>
      <c r="C36" t="s">
        <v>515</v>
      </c>
    </row>
    <row r="37" spans="1:3" ht="15" customHeight="1" x14ac:dyDescent="0.25">
      <c r="A37" t="s">
        <v>147</v>
      </c>
      <c r="B37" t="s">
        <v>535</v>
      </c>
      <c r="C37" t="s">
        <v>515</v>
      </c>
    </row>
    <row r="38" spans="1:3" ht="15" customHeight="1" x14ac:dyDescent="0.25">
      <c r="A38" t="s">
        <v>149</v>
      </c>
      <c r="B38" t="s">
        <v>536</v>
      </c>
      <c r="C38" t="s">
        <v>519</v>
      </c>
    </row>
    <row r="39" spans="1:3" ht="15" customHeight="1" x14ac:dyDescent="0.25">
      <c r="A39" t="s">
        <v>151</v>
      </c>
      <c r="B39" t="s">
        <v>537</v>
      </c>
      <c r="C39" t="s">
        <v>515</v>
      </c>
    </row>
    <row r="40" spans="1:3" ht="15" customHeight="1" x14ac:dyDescent="0.25">
      <c r="A40" t="s">
        <v>153</v>
      </c>
      <c r="B40" t="s">
        <v>528</v>
      </c>
      <c r="C40" t="s">
        <v>515</v>
      </c>
    </row>
    <row r="41" spans="1:3" ht="15" customHeight="1" x14ac:dyDescent="0.25">
      <c r="A41" t="s">
        <v>154</v>
      </c>
      <c r="B41" t="s">
        <v>524</v>
      </c>
      <c r="C41" t="s">
        <v>515</v>
      </c>
    </row>
    <row r="42" spans="1:3" ht="15" customHeight="1" x14ac:dyDescent="0.25">
      <c r="A42" t="s">
        <v>156</v>
      </c>
      <c r="B42" t="s">
        <v>538</v>
      </c>
      <c r="C42" t="s">
        <v>515</v>
      </c>
    </row>
    <row r="43" spans="1:3" ht="15" customHeight="1" x14ac:dyDescent="0.25">
      <c r="A43" t="s">
        <v>158</v>
      </c>
      <c r="B43" t="s">
        <v>514</v>
      </c>
      <c r="C43" t="s">
        <v>519</v>
      </c>
    </row>
    <row r="44" spans="1:3" ht="15" customHeight="1" x14ac:dyDescent="0.25">
      <c r="A44" t="s">
        <v>160</v>
      </c>
      <c r="B44" t="s">
        <v>525</v>
      </c>
      <c r="C44" t="s">
        <v>515</v>
      </c>
    </row>
    <row r="45" spans="1:3" ht="15" customHeight="1" x14ac:dyDescent="0.25">
      <c r="A45" t="s">
        <v>161</v>
      </c>
      <c r="B45" t="s">
        <v>522</v>
      </c>
      <c r="C45" t="s">
        <v>519</v>
      </c>
    </row>
    <row r="46" spans="1:3" ht="15" customHeight="1" x14ac:dyDescent="0.25">
      <c r="A46" t="s">
        <v>162</v>
      </c>
      <c r="B46" t="s">
        <v>514</v>
      </c>
      <c r="C46" t="s">
        <v>515</v>
      </c>
    </row>
    <row r="47" spans="1:3" ht="15" customHeight="1" x14ac:dyDescent="0.25">
      <c r="A47" t="s">
        <v>163</v>
      </c>
      <c r="B47" t="s">
        <v>521</v>
      </c>
      <c r="C47" t="s">
        <v>519</v>
      </c>
    </row>
    <row r="48" spans="1:3" ht="15" customHeight="1" x14ac:dyDescent="0.25">
      <c r="A48" t="s">
        <v>164</v>
      </c>
      <c r="B48" t="s">
        <v>516</v>
      </c>
      <c r="C48" t="s">
        <v>515</v>
      </c>
    </row>
    <row r="49" spans="1:3" ht="15" customHeight="1" x14ac:dyDescent="0.25">
      <c r="A49" t="s">
        <v>165</v>
      </c>
      <c r="B49" t="s">
        <v>539</v>
      </c>
      <c r="C49" t="s">
        <v>519</v>
      </c>
    </row>
    <row r="50" spans="1:3" ht="15" customHeight="1" x14ac:dyDescent="0.25">
      <c r="A50" t="s">
        <v>167</v>
      </c>
      <c r="B50" t="s">
        <v>525</v>
      </c>
      <c r="C50" t="s">
        <v>519</v>
      </c>
    </row>
    <row r="51" spans="1:3" ht="15" customHeight="1" x14ac:dyDescent="0.25">
      <c r="A51" t="s">
        <v>168</v>
      </c>
      <c r="B51" t="s">
        <v>530</v>
      </c>
      <c r="C51" t="s">
        <v>519</v>
      </c>
    </row>
    <row r="52" spans="1:3" ht="15" customHeight="1" x14ac:dyDescent="0.25">
      <c r="A52" t="s">
        <v>170</v>
      </c>
      <c r="B52" t="s">
        <v>520</v>
      </c>
      <c r="C52" t="s">
        <v>519</v>
      </c>
    </row>
    <row r="53" spans="1:3" ht="15" customHeight="1" x14ac:dyDescent="0.25">
      <c r="A53" t="s">
        <v>171</v>
      </c>
      <c r="B53" t="s">
        <v>520</v>
      </c>
      <c r="C53" t="s">
        <v>515</v>
      </c>
    </row>
    <row r="54" spans="1:3" ht="15" customHeight="1" x14ac:dyDescent="0.25">
      <c r="A54" t="s">
        <v>173</v>
      </c>
      <c r="B54" t="s">
        <v>538</v>
      </c>
      <c r="C54" t="s">
        <v>515</v>
      </c>
    </row>
    <row r="55" spans="1:3" ht="15" customHeight="1" x14ac:dyDescent="0.25">
      <c r="A55" t="s">
        <v>175</v>
      </c>
      <c r="B55" t="s">
        <v>516</v>
      </c>
      <c r="C55" t="s">
        <v>519</v>
      </c>
    </row>
    <row r="56" spans="1:3" ht="15" customHeight="1" x14ac:dyDescent="0.25">
      <c r="A56" t="s">
        <v>176</v>
      </c>
      <c r="B56" t="s">
        <v>540</v>
      </c>
      <c r="C56" t="s">
        <v>519</v>
      </c>
    </row>
    <row r="57" spans="1:3" ht="15" customHeight="1" x14ac:dyDescent="0.25">
      <c r="A57" t="s">
        <v>178</v>
      </c>
      <c r="B57" t="s">
        <v>541</v>
      </c>
      <c r="C57" t="s">
        <v>519</v>
      </c>
    </row>
    <row r="58" spans="1:3" ht="15" customHeight="1" x14ac:dyDescent="0.25">
      <c r="A58" t="s">
        <v>180</v>
      </c>
      <c r="B58" t="s">
        <v>528</v>
      </c>
      <c r="C58" t="s">
        <v>515</v>
      </c>
    </row>
    <row r="59" spans="1:3" ht="15" customHeight="1" x14ac:dyDescent="0.25">
      <c r="A59" t="s">
        <v>182</v>
      </c>
      <c r="B59" t="s">
        <v>542</v>
      </c>
      <c r="C59" t="s">
        <v>519</v>
      </c>
    </row>
    <row r="60" spans="1:3" ht="15" customHeight="1" x14ac:dyDescent="0.25">
      <c r="A60" t="s">
        <v>184</v>
      </c>
      <c r="B60" t="s">
        <v>521</v>
      </c>
      <c r="C60" t="s">
        <v>519</v>
      </c>
    </row>
    <row r="61" spans="1:3" ht="15" customHeight="1" x14ac:dyDescent="0.25">
      <c r="A61" t="s">
        <v>185</v>
      </c>
      <c r="B61" t="s">
        <v>542</v>
      </c>
      <c r="C61" t="s">
        <v>519</v>
      </c>
    </row>
    <row r="62" spans="1:3" ht="15" customHeight="1" x14ac:dyDescent="0.25">
      <c r="A62" t="s">
        <v>187</v>
      </c>
      <c r="B62" t="s">
        <v>527</v>
      </c>
      <c r="C62" t="s">
        <v>515</v>
      </c>
    </row>
    <row r="63" spans="1:3" ht="15" customHeight="1" x14ac:dyDescent="0.25">
      <c r="A63" t="s">
        <v>189</v>
      </c>
      <c r="B63" t="s">
        <v>533</v>
      </c>
      <c r="C63" t="s">
        <v>519</v>
      </c>
    </row>
    <row r="64" spans="1:3" ht="15" customHeight="1" x14ac:dyDescent="0.25">
      <c r="A64" t="s">
        <v>191</v>
      </c>
      <c r="B64" t="s">
        <v>514</v>
      </c>
      <c r="C64" t="s">
        <v>515</v>
      </c>
    </row>
    <row r="65" spans="1:3" ht="15" customHeight="1" x14ac:dyDescent="0.25">
      <c r="A65" t="s">
        <v>193</v>
      </c>
      <c r="B65" t="s">
        <v>520</v>
      </c>
      <c r="C65" t="s">
        <v>519</v>
      </c>
    </row>
    <row r="66" spans="1:3" ht="15" customHeight="1" x14ac:dyDescent="0.25">
      <c r="A66" t="s">
        <v>194</v>
      </c>
      <c r="B66" t="s">
        <v>536</v>
      </c>
      <c r="C66" t="s">
        <v>519</v>
      </c>
    </row>
    <row r="67" spans="1:3" ht="15" customHeight="1" x14ac:dyDescent="0.25">
      <c r="A67" t="s">
        <v>195</v>
      </c>
      <c r="B67" t="s">
        <v>543</v>
      </c>
      <c r="C67" t="s">
        <v>515</v>
      </c>
    </row>
    <row r="68" spans="1:3" ht="15" customHeight="1" x14ac:dyDescent="0.25">
      <c r="A68" t="s">
        <v>197</v>
      </c>
      <c r="B68" t="s">
        <v>530</v>
      </c>
      <c r="C68" t="s">
        <v>519</v>
      </c>
    </row>
    <row r="69" spans="1:3" ht="15" customHeight="1" x14ac:dyDescent="0.25">
      <c r="A69" t="s">
        <v>198</v>
      </c>
      <c r="B69" t="s">
        <v>522</v>
      </c>
      <c r="C69" t="s">
        <v>515</v>
      </c>
    </row>
    <row r="70" spans="1:3" ht="15" customHeight="1" x14ac:dyDescent="0.25">
      <c r="A70" t="s">
        <v>200</v>
      </c>
      <c r="B70" t="s">
        <v>528</v>
      </c>
      <c r="C70" t="s">
        <v>519</v>
      </c>
    </row>
    <row r="71" spans="1:3" ht="15" customHeight="1" x14ac:dyDescent="0.25">
      <c r="A71" t="s">
        <v>202</v>
      </c>
      <c r="B71" t="s">
        <v>527</v>
      </c>
      <c r="C71" t="s">
        <v>519</v>
      </c>
    </row>
    <row r="72" spans="1:3" ht="15" customHeight="1" x14ac:dyDescent="0.25">
      <c r="A72" t="s">
        <v>203</v>
      </c>
      <c r="B72" t="s">
        <v>528</v>
      </c>
      <c r="C72" t="s">
        <v>519</v>
      </c>
    </row>
    <row r="73" spans="1:3" ht="15" customHeight="1" x14ac:dyDescent="0.25">
      <c r="A73" t="s">
        <v>204</v>
      </c>
      <c r="B73" t="s">
        <v>522</v>
      </c>
      <c r="C73" t="s">
        <v>515</v>
      </c>
    </row>
    <row r="74" spans="1:3" ht="15" customHeight="1" x14ac:dyDescent="0.25">
      <c r="A74" t="s">
        <v>206</v>
      </c>
      <c r="B74" t="s">
        <v>544</v>
      </c>
      <c r="C74" t="s">
        <v>519</v>
      </c>
    </row>
    <row r="75" spans="1:3" ht="15" customHeight="1" x14ac:dyDescent="0.25">
      <c r="A75" t="s">
        <v>208</v>
      </c>
      <c r="B75" t="s">
        <v>521</v>
      </c>
      <c r="C75" t="s">
        <v>515</v>
      </c>
    </row>
    <row r="76" spans="1:3" ht="15" customHeight="1" x14ac:dyDescent="0.25">
      <c r="A76" t="s">
        <v>210</v>
      </c>
      <c r="B76" t="s">
        <v>537</v>
      </c>
      <c r="C76" t="s">
        <v>515</v>
      </c>
    </row>
    <row r="77" spans="1:3" ht="15" customHeight="1" x14ac:dyDescent="0.25">
      <c r="A77" t="s">
        <v>211</v>
      </c>
      <c r="B77" t="s">
        <v>545</v>
      </c>
      <c r="C77" t="s">
        <v>515</v>
      </c>
    </row>
    <row r="78" spans="1:3" ht="15" customHeight="1" x14ac:dyDescent="0.25">
      <c r="A78" t="s">
        <v>213</v>
      </c>
      <c r="B78" t="s">
        <v>528</v>
      </c>
      <c r="C78" t="s">
        <v>519</v>
      </c>
    </row>
    <row r="79" spans="1:3" ht="15" customHeight="1" x14ac:dyDescent="0.25">
      <c r="A79" t="s">
        <v>214</v>
      </c>
      <c r="B79" t="s">
        <v>546</v>
      </c>
      <c r="C79" t="s">
        <v>519</v>
      </c>
    </row>
    <row r="80" spans="1:3" ht="15" customHeight="1" x14ac:dyDescent="0.25">
      <c r="A80" t="s">
        <v>216</v>
      </c>
      <c r="B80" t="s">
        <v>521</v>
      </c>
      <c r="C80" t="s">
        <v>519</v>
      </c>
    </row>
    <row r="81" spans="1:3" ht="15" customHeight="1" x14ac:dyDescent="0.25">
      <c r="A81" t="s">
        <v>217</v>
      </c>
      <c r="B81" t="s">
        <v>514</v>
      </c>
      <c r="C81" t="s">
        <v>519</v>
      </c>
    </row>
    <row r="82" spans="1:3" ht="15" customHeight="1" x14ac:dyDescent="0.25">
      <c r="A82" t="s">
        <v>218</v>
      </c>
      <c r="B82" t="s">
        <v>547</v>
      </c>
      <c r="C82" t="s">
        <v>519</v>
      </c>
    </row>
    <row r="83" spans="1:3" ht="15" customHeight="1" x14ac:dyDescent="0.25">
      <c r="A83" t="s">
        <v>220</v>
      </c>
      <c r="B83" t="s">
        <v>520</v>
      </c>
      <c r="C83" t="s">
        <v>519</v>
      </c>
    </row>
    <row r="84" spans="1:3" ht="15" customHeight="1" x14ac:dyDescent="0.25">
      <c r="A84" t="s">
        <v>221</v>
      </c>
      <c r="B84" t="s">
        <v>523</v>
      </c>
      <c r="C84" t="s">
        <v>519</v>
      </c>
    </row>
    <row r="85" spans="1:3" ht="15" customHeight="1" x14ac:dyDescent="0.25">
      <c r="A85" t="s">
        <v>223</v>
      </c>
      <c r="B85" t="s">
        <v>548</v>
      </c>
      <c r="C85" t="s">
        <v>515</v>
      </c>
    </row>
    <row r="86" spans="1:3" ht="15" customHeight="1" x14ac:dyDescent="0.25">
      <c r="A86" t="s">
        <v>225</v>
      </c>
      <c r="B86" t="s">
        <v>526</v>
      </c>
      <c r="C86" t="s">
        <v>515</v>
      </c>
    </row>
    <row r="87" spans="1:3" ht="15" customHeight="1" x14ac:dyDescent="0.25">
      <c r="A87" t="s">
        <v>227</v>
      </c>
      <c r="B87" t="s">
        <v>543</v>
      </c>
      <c r="C87" t="s">
        <v>515</v>
      </c>
    </row>
    <row r="88" spans="1:3" ht="15" customHeight="1" x14ac:dyDescent="0.25">
      <c r="A88" t="s">
        <v>229</v>
      </c>
      <c r="B88" t="s">
        <v>535</v>
      </c>
      <c r="C88" t="s">
        <v>519</v>
      </c>
    </row>
    <row r="89" spans="1:3" ht="15" customHeight="1" x14ac:dyDescent="0.25">
      <c r="A89" t="s">
        <v>231</v>
      </c>
      <c r="B89" t="s">
        <v>516</v>
      </c>
      <c r="C89" t="s">
        <v>519</v>
      </c>
    </row>
    <row r="90" spans="1:3" ht="15" customHeight="1" x14ac:dyDescent="0.25">
      <c r="A90" t="s">
        <v>233</v>
      </c>
      <c r="B90" t="s">
        <v>520</v>
      </c>
      <c r="C90" t="s">
        <v>515</v>
      </c>
    </row>
    <row r="91" spans="1:3" ht="15" customHeight="1" x14ac:dyDescent="0.25">
      <c r="A91" t="s">
        <v>234</v>
      </c>
      <c r="B91" t="s">
        <v>516</v>
      </c>
      <c r="C91" t="s">
        <v>519</v>
      </c>
    </row>
    <row r="92" spans="1:3" ht="15" customHeight="1" x14ac:dyDescent="0.25">
      <c r="A92" t="s">
        <v>235</v>
      </c>
      <c r="B92" t="s">
        <v>514</v>
      </c>
      <c r="C92" t="s">
        <v>515</v>
      </c>
    </row>
    <row r="93" spans="1:3" ht="15" customHeight="1" x14ac:dyDescent="0.25">
      <c r="A93" t="s">
        <v>236</v>
      </c>
      <c r="B93" t="s">
        <v>526</v>
      </c>
      <c r="C93" t="s">
        <v>515</v>
      </c>
    </row>
    <row r="94" spans="1:3" ht="15" customHeight="1" x14ac:dyDescent="0.25">
      <c r="A94" t="s">
        <v>237</v>
      </c>
      <c r="B94" t="s">
        <v>516</v>
      </c>
      <c r="C94" t="s">
        <v>515</v>
      </c>
    </row>
    <row r="95" spans="1:3" ht="15" customHeight="1" x14ac:dyDescent="0.25">
      <c r="A95" t="s">
        <v>238</v>
      </c>
      <c r="B95" t="s">
        <v>517</v>
      </c>
      <c r="C95" t="s">
        <v>519</v>
      </c>
    </row>
    <row r="96" spans="1:3" ht="15" customHeight="1" x14ac:dyDescent="0.25">
      <c r="A96" t="s">
        <v>240</v>
      </c>
      <c r="B96" t="s">
        <v>516</v>
      </c>
      <c r="C96" t="s">
        <v>519</v>
      </c>
    </row>
    <row r="97" spans="1:3" ht="15" customHeight="1" x14ac:dyDescent="0.25">
      <c r="A97" t="s">
        <v>241</v>
      </c>
      <c r="B97" t="s">
        <v>528</v>
      </c>
      <c r="C97" t="s">
        <v>519</v>
      </c>
    </row>
    <row r="98" spans="1:3" ht="15" customHeight="1" x14ac:dyDescent="0.25">
      <c r="A98" t="s">
        <v>242</v>
      </c>
      <c r="B98" t="s">
        <v>520</v>
      </c>
      <c r="C98" t="s">
        <v>515</v>
      </c>
    </row>
    <row r="99" spans="1:3" ht="15" customHeight="1" x14ac:dyDescent="0.25">
      <c r="A99" t="s">
        <v>243</v>
      </c>
      <c r="B99" t="s">
        <v>520</v>
      </c>
      <c r="C99" t="s">
        <v>515</v>
      </c>
    </row>
    <row r="100" spans="1:3" ht="15" customHeight="1" x14ac:dyDescent="0.25">
      <c r="A100" t="s">
        <v>244</v>
      </c>
      <c r="B100" t="s">
        <v>528</v>
      </c>
      <c r="C100" t="s">
        <v>515</v>
      </c>
    </row>
    <row r="101" spans="1:3" ht="15" customHeight="1" x14ac:dyDescent="0.25">
      <c r="A101" t="s">
        <v>245</v>
      </c>
      <c r="B101" t="s">
        <v>530</v>
      </c>
      <c r="C101" t="s">
        <v>515</v>
      </c>
    </row>
    <row r="102" spans="1:3" ht="15" customHeight="1" x14ac:dyDescent="0.25">
      <c r="A102" t="s">
        <v>247</v>
      </c>
      <c r="B102" t="s">
        <v>528</v>
      </c>
      <c r="C102" t="s">
        <v>519</v>
      </c>
    </row>
    <row r="103" spans="1:3" ht="15" customHeight="1" x14ac:dyDescent="0.25">
      <c r="A103" t="s">
        <v>248</v>
      </c>
      <c r="B103" t="s">
        <v>528</v>
      </c>
      <c r="C103" t="s">
        <v>519</v>
      </c>
    </row>
    <row r="104" spans="1:3" ht="15" customHeight="1" x14ac:dyDescent="0.25">
      <c r="A104" t="s">
        <v>249</v>
      </c>
      <c r="B104" t="s">
        <v>525</v>
      </c>
      <c r="C104" t="s">
        <v>515</v>
      </c>
    </row>
    <row r="105" spans="1:3" ht="15" customHeight="1" x14ac:dyDescent="0.25">
      <c r="A105" t="s">
        <v>250</v>
      </c>
      <c r="B105" t="s">
        <v>532</v>
      </c>
      <c r="C105" t="s">
        <v>519</v>
      </c>
    </row>
    <row r="106" spans="1:3" ht="15" customHeight="1" x14ac:dyDescent="0.25">
      <c r="A106" t="s">
        <v>252</v>
      </c>
      <c r="B106" t="s">
        <v>543</v>
      </c>
      <c r="C106" t="s">
        <v>519</v>
      </c>
    </row>
    <row r="107" spans="1:3" ht="15" customHeight="1" x14ac:dyDescent="0.25">
      <c r="A107" t="s">
        <v>254</v>
      </c>
      <c r="B107" t="s">
        <v>522</v>
      </c>
      <c r="C107" t="s">
        <v>519</v>
      </c>
    </row>
    <row r="108" spans="1:3" ht="15" customHeight="1" x14ac:dyDescent="0.25">
      <c r="A108" t="s">
        <v>256</v>
      </c>
      <c r="B108" t="s">
        <v>522</v>
      </c>
      <c r="C108" t="s">
        <v>515</v>
      </c>
    </row>
    <row r="109" spans="1:3" ht="15" customHeight="1" x14ac:dyDescent="0.25">
      <c r="A109" t="s">
        <v>257</v>
      </c>
      <c r="B109" t="s">
        <v>525</v>
      </c>
      <c r="C109" t="s">
        <v>519</v>
      </c>
    </row>
    <row r="110" spans="1:3" ht="15" customHeight="1" x14ac:dyDescent="0.25">
      <c r="A110" t="s">
        <v>259</v>
      </c>
      <c r="B110" t="s">
        <v>521</v>
      </c>
      <c r="C110" t="s">
        <v>519</v>
      </c>
    </row>
    <row r="111" spans="1:3" ht="15" customHeight="1" x14ac:dyDescent="0.25">
      <c r="A111" t="s">
        <v>260</v>
      </c>
      <c r="B111" t="s">
        <v>521</v>
      </c>
      <c r="C111" t="s">
        <v>515</v>
      </c>
    </row>
    <row r="112" spans="1:3" ht="15" customHeight="1" x14ac:dyDescent="0.25">
      <c r="A112" t="s">
        <v>262</v>
      </c>
      <c r="B112" t="s">
        <v>538</v>
      </c>
      <c r="C112" t="s">
        <v>515</v>
      </c>
    </row>
    <row r="113" spans="1:3" ht="15" customHeight="1" x14ac:dyDescent="0.25">
      <c r="A113" t="s">
        <v>264</v>
      </c>
      <c r="B113" t="s">
        <v>529</v>
      </c>
      <c r="C113" t="s">
        <v>515</v>
      </c>
    </row>
    <row r="114" spans="1:3" ht="15" customHeight="1" x14ac:dyDescent="0.25">
      <c r="A114" t="s">
        <v>266</v>
      </c>
      <c r="B114" t="s">
        <v>549</v>
      </c>
      <c r="C114" t="s">
        <v>519</v>
      </c>
    </row>
    <row r="115" spans="1:3" ht="15" customHeight="1" x14ac:dyDescent="0.25">
      <c r="A115" t="s">
        <v>268</v>
      </c>
      <c r="B115" t="s">
        <v>516</v>
      </c>
      <c r="C115" t="s">
        <v>519</v>
      </c>
    </row>
    <row r="116" spans="1:3" ht="15" customHeight="1" x14ac:dyDescent="0.25">
      <c r="A116" t="s">
        <v>269</v>
      </c>
      <c r="B116" t="s">
        <v>544</v>
      </c>
      <c r="C116" t="s">
        <v>519</v>
      </c>
    </row>
    <row r="117" spans="1:3" ht="15" customHeight="1" x14ac:dyDescent="0.25">
      <c r="A117" t="s">
        <v>271</v>
      </c>
      <c r="B117" t="s">
        <v>528</v>
      </c>
      <c r="C117" t="s">
        <v>519</v>
      </c>
    </row>
    <row r="118" spans="1:3" ht="15" customHeight="1" x14ac:dyDescent="0.25">
      <c r="A118" t="s">
        <v>272</v>
      </c>
      <c r="B118" t="s">
        <v>550</v>
      </c>
      <c r="C118" t="s">
        <v>519</v>
      </c>
    </row>
    <row r="119" spans="1:3" ht="15" customHeight="1" x14ac:dyDescent="0.25">
      <c r="A119" t="s">
        <v>274</v>
      </c>
      <c r="B119" t="s">
        <v>520</v>
      </c>
      <c r="C119" t="s">
        <v>515</v>
      </c>
    </row>
    <row r="120" spans="1:3" ht="15" customHeight="1" x14ac:dyDescent="0.25">
      <c r="A120" t="s">
        <v>275</v>
      </c>
      <c r="B120" t="s">
        <v>532</v>
      </c>
      <c r="C120" t="s">
        <v>519</v>
      </c>
    </row>
    <row r="121" spans="1:3" ht="15" customHeight="1" x14ac:dyDescent="0.25">
      <c r="A121" t="s">
        <v>277</v>
      </c>
      <c r="B121" t="s">
        <v>528</v>
      </c>
      <c r="C121" t="s">
        <v>519</v>
      </c>
    </row>
    <row r="122" spans="1:3" ht="15" customHeight="1" x14ac:dyDescent="0.25">
      <c r="A122" t="s">
        <v>278</v>
      </c>
      <c r="B122" t="s">
        <v>529</v>
      </c>
      <c r="C122" t="s">
        <v>519</v>
      </c>
    </row>
    <row r="123" spans="1:3" ht="15" customHeight="1" x14ac:dyDescent="0.25">
      <c r="A123" t="s">
        <v>280</v>
      </c>
      <c r="B123" t="s">
        <v>525</v>
      </c>
      <c r="C123" t="s">
        <v>519</v>
      </c>
    </row>
    <row r="124" spans="1:3" ht="15" customHeight="1" x14ac:dyDescent="0.25">
      <c r="A124" t="s">
        <v>281</v>
      </c>
      <c r="B124" t="s">
        <v>514</v>
      </c>
      <c r="C124" t="s">
        <v>515</v>
      </c>
    </row>
    <row r="125" spans="1:3" ht="15" customHeight="1" x14ac:dyDescent="0.25">
      <c r="A125" t="s">
        <v>282</v>
      </c>
      <c r="B125" t="s">
        <v>547</v>
      </c>
      <c r="C125" t="s">
        <v>519</v>
      </c>
    </row>
    <row r="126" spans="1:3" ht="15" customHeight="1" x14ac:dyDescent="0.25">
      <c r="A126" t="s">
        <v>284</v>
      </c>
      <c r="B126" t="s">
        <v>514</v>
      </c>
      <c r="C126" t="s">
        <v>515</v>
      </c>
    </row>
    <row r="127" spans="1:3" ht="15" customHeight="1" x14ac:dyDescent="0.25">
      <c r="A127" t="s">
        <v>285</v>
      </c>
      <c r="B127" t="s">
        <v>526</v>
      </c>
      <c r="C127" t="s">
        <v>515</v>
      </c>
    </row>
    <row r="128" spans="1:3" ht="15" customHeight="1" x14ac:dyDescent="0.25">
      <c r="A128" t="s">
        <v>287</v>
      </c>
      <c r="B128" t="s">
        <v>521</v>
      </c>
      <c r="C128" t="s">
        <v>515</v>
      </c>
    </row>
    <row r="129" spans="1:3" ht="15" customHeight="1" x14ac:dyDescent="0.25">
      <c r="A129" t="s">
        <v>288</v>
      </c>
      <c r="B129" t="s">
        <v>525</v>
      </c>
      <c r="C129" t="s">
        <v>515</v>
      </c>
    </row>
    <row r="130" spans="1:3" ht="15" customHeight="1" x14ac:dyDescent="0.25">
      <c r="A130" t="s">
        <v>289</v>
      </c>
      <c r="B130" t="s">
        <v>523</v>
      </c>
      <c r="C130" t="s">
        <v>519</v>
      </c>
    </row>
    <row r="131" spans="1:3" ht="15" customHeight="1" x14ac:dyDescent="0.25">
      <c r="A131" t="s">
        <v>290</v>
      </c>
      <c r="B131" t="s">
        <v>514</v>
      </c>
      <c r="C131" t="s">
        <v>515</v>
      </c>
    </row>
    <row r="132" spans="1:3" ht="15" customHeight="1" x14ac:dyDescent="0.25">
      <c r="A132" t="s">
        <v>291</v>
      </c>
      <c r="B132" t="s">
        <v>521</v>
      </c>
      <c r="C132" t="s">
        <v>515</v>
      </c>
    </row>
    <row r="133" spans="1:3" ht="15" customHeight="1" x14ac:dyDescent="0.25">
      <c r="A133" t="s">
        <v>292</v>
      </c>
      <c r="B133" t="s">
        <v>546</v>
      </c>
      <c r="C133" t="s">
        <v>515</v>
      </c>
    </row>
    <row r="134" spans="1:3" ht="15" customHeight="1" x14ac:dyDescent="0.25">
      <c r="A134" t="s">
        <v>294</v>
      </c>
      <c r="B134" t="s">
        <v>521</v>
      </c>
      <c r="C134" t="s">
        <v>519</v>
      </c>
    </row>
    <row r="135" spans="1:3" ht="15" customHeight="1" x14ac:dyDescent="0.25">
      <c r="A135" t="s">
        <v>295</v>
      </c>
      <c r="B135" t="s">
        <v>526</v>
      </c>
      <c r="C135" t="s">
        <v>519</v>
      </c>
    </row>
    <row r="136" spans="1:3" ht="15" customHeight="1" x14ac:dyDescent="0.25">
      <c r="A136" t="s">
        <v>297</v>
      </c>
      <c r="B136" t="s">
        <v>543</v>
      </c>
      <c r="C136" t="s">
        <v>515</v>
      </c>
    </row>
    <row r="137" spans="1:3" ht="15" customHeight="1" x14ac:dyDescent="0.25">
      <c r="A137" t="s">
        <v>299</v>
      </c>
      <c r="B137" t="s">
        <v>531</v>
      </c>
      <c r="C137" t="s">
        <v>519</v>
      </c>
    </row>
    <row r="138" spans="1:3" ht="15" customHeight="1" x14ac:dyDescent="0.25">
      <c r="A138" t="s">
        <v>301</v>
      </c>
      <c r="B138" t="s">
        <v>525</v>
      </c>
      <c r="C138" t="s">
        <v>519</v>
      </c>
    </row>
    <row r="139" spans="1:3" ht="15" customHeight="1" x14ac:dyDescent="0.25">
      <c r="A139" t="s">
        <v>302</v>
      </c>
      <c r="B139" t="s">
        <v>525</v>
      </c>
      <c r="C139" t="s">
        <v>515</v>
      </c>
    </row>
    <row r="140" spans="1:3" ht="15" customHeight="1" x14ac:dyDescent="0.25">
      <c r="A140" t="s">
        <v>303</v>
      </c>
      <c r="B140" t="s">
        <v>529</v>
      </c>
      <c r="C140" t="s">
        <v>515</v>
      </c>
    </row>
    <row r="141" spans="1:3" ht="15" customHeight="1" x14ac:dyDescent="0.25">
      <c r="A141" t="s">
        <v>304</v>
      </c>
      <c r="B141" t="s">
        <v>516</v>
      </c>
      <c r="C141" t="s">
        <v>519</v>
      </c>
    </row>
    <row r="142" spans="1:3" ht="15" customHeight="1" x14ac:dyDescent="0.25">
      <c r="A142" t="s">
        <v>305</v>
      </c>
      <c r="B142" t="s">
        <v>517</v>
      </c>
      <c r="C142" t="s">
        <v>515</v>
      </c>
    </row>
    <row r="143" spans="1:3" ht="15" customHeight="1" x14ac:dyDescent="0.25">
      <c r="A143" t="s">
        <v>306</v>
      </c>
      <c r="B143" t="s">
        <v>549</v>
      </c>
      <c r="C143" t="s">
        <v>515</v>
      </c>
    </row>
    <row r="144" spans="1:3" ht="15" customHeight="1" x14ac:dyDescent="0.25">
      <c r="A144" t="s">
        <v>308</v>
      </c>
      <c r="B144" t="s">
        <v>520</v>
      </c>
      <c r="C144" t="s">
        <v>515</v>
      </c>
    </row>
    <row r="145" spans="1:3" ht="15" customHeight="1" x14ac:dyDescent="0.25">
      <c r="A145" t="s">
        <v>309</v>
      </c>
      <c r="B145" t="s">
        <v>543</v>
      </c>
      <c r="C145" t="s">
        <v>519</v>
      </c>
    </row>
    <row r="146" spans="1:3" ht="15" customHeight="1" x14ac:dyDescent="0.25">
      <c r="A146" t="s">
        <v>311</v>
      </c>
      <c r="B146" t="s">
        <v>514</v>
      </c>
      <c r="C146" t="s">
        <v>519</v>
      </c>
    </row>
    <row r="147" spans="1:3" ht="15" customHeight="1" x14ac:dyDescent="0.25">
      <c r="A147" t="s">
        <v>312</v>
      </c>
      <c r="B147" t="s">
        <v>522</v>
      </c>
      <c r="C147" t="s">
        <v>515</v>
      </c>
    </row>
    <row r="148" spans="1:3" ht="15" customHeight="1" x14ac:dyDescent="0.25">
      <c r="A148" t="s">
        <v>313</v>
      </c>
      <c r="B148" t="s">
        <v>520</v>
      </c>
      <c r="C148" t="s">
        <v>515</v>
      </c>
    </row>
    <row r="149" spans="1:3" ht="15" customHeight="1" x14ac:dyDescent="0.25">
      <c r="A149" t="s">
        <v>314</v>
      </c>
      <c r="B149" t="s">
        <v>527</v>
      </c>
      <c r="C149" t="s">
        <v>519</v>
      </c>
    </row>
    <row r="150" spans="1:3" ht="15" customHeight="1" x14ac:dyDescent="0.25">
      <c r="A150" t="s">
        <v>316</v>
      </c>
      <c r="B150" t="s">
        <v>525</v>
      </c>
      <c r="C150" t="s">
        <v>519</v>
      </c>
    </row>
    <row r="151" spans="1:3" ht="15" customHeight="1" x14ac:dyDescent="0.25">
      <c r="A151" t="s">
        <v>317</v>
      </c>
      <c r="B151" t="s">
        <v>545</v>
      </c>
      <c r="C151" t="s">
        <v>515</v>
      </c>
    </row>
    <row r="152" spans="1:3" ht="15" customHeight="1" x14ac:dyDescent="0.25">
      <c r="A152" t="s">
        <v>319</v>
      </c>
      <c r="B152" t="s">
        <v>516</v>
      </c>
      <c r="C152" t="s">
        <v>515</v>
      </c>
    </row>
    <row r="153" spans="1:3" ht="15" customHeight="1" x14ac:dyDescent="0.25">
      <c r="A153" t="s">
        <v>320</v>
      </c>
      <c r="B153" t="s">
        <v>516</v>
      </c>
      <c r="C153" t="s">
        <v>519</v>
      </c>
    </row>
    <row r="154" spans="1:3" ht="15" customHeight="1" x14ac:dyDescent="0.25">
      <c r="A154" t="s">
        <v>321</v>
      </c>
      <c r="B154" t="s">
        <v>514</v>
      </c>
      <c r="C154" t="s">
        <v>519</v>
      </c>
    </row>
    <row r="155" spans="1:3" ht="15" customHeight="1" x14ac:dyDescent="0.25">
      <c r="A155" t="s">
        <v>322</v>
      </c>
      <c r="B155" t="s">
        <v>551</v>
      </c>
      <c r="C155" t="s">
        <v>515</v>
      </c>
    </row>
    <row r="156" spans="1:3" ht="15" customHeight="1" x14ac:dyDescent="0.25">
      <c r="A156" t="s">
        <v>324</v>
      </c>
      <c r="B156" t="s">
        <v>528</v>
      </c>
      <c r="C156" t="s">
        <v>519</v>
      </c>
    </row>
    <row r="157" spans="1:3" ht="15" customHeight="1" x14ac:dyDescent="0.25">
      <c r="A157" t="s">
        <v>325</v>
      </c>
      <c r="B157" t="s">
        <v>527</v>
      </c>
      <c r="C157" t="s">
        <v>519</v>
      </c>
    </row>
    <row r="158" spans="1:3" ht="15" customHeight="1" x14ac:dyDescent="0.25">
      <c r="A158" t="s">
        <v>326</v>
      </c>
      <c r="B158" t="s">
        <v>514</v>
      </c>
      <c r="C158" t="s">
        <v>515</v>
      </c>
    </row>
    <row r="159" spans="1:3" ht="15" customHeight="1" x14ac:dyDescent="0.25">
      <c r="A159" t="s">
        <v>327</v>
      </c>
      <c r="B159" t="s">
        <v>546</v>
      </c>
      <c r="C159" t="s">
        <v>519</v>
      </c>
    </row>
    <row r="160" spans="1:3" ht="15" customHeight="1" x14ac:dyDescent="0.25">
      <c r="A160" t="s">
        <v>329</v>
      </c>
      <c r="B160" t="s">
        <v>516</v>
      </c>
      <c r="C160" t="s">
        <v>515</v>
      </c>
    </row>
    <row r="161" spans="1:3" ht="15" customHeight="1" x14ac:dyDescent="0.25">
      <c r="A161" t="s">
        <v>330</v>
      </c>
      <c r="B161" t="s">
        <v>514</v>
      </c>
      <c r="C161" t="s">
        <v>519</v>
      </c>
    </row>
    <row r="162" spans="1:3" ht="15" customHeight="1" x14ac:dyDescent="0.25">
      <c r="A162" t="s">
        <v>331</v>
      </c>
      <c r="B162" t="s">
        <v>531</v>
      </c>
      <c r="C162" t="s">
        <v>515</v>
      </c>
    </row>
    <row r="163" spans="1:3" ht="15" customHeight="1" x14ac:dyDescent="0.25">
      <c r="A163" t="s">
        <v>332</v>
      </c>
      <c r="B163" t="s">
        <v>524</v>
      </c>
      <c r="C163" t="s">
        <v>519</v>
      </c>
    </row>
    <row r="164" spans="1:3" ht="15" customHeight="1" x14ac:dyDescent="0.25">
      <c r="A164" t="s">
        <v>334</v>
      </c>
      <c r="B164" t="s">
        <v>550</v>
      </c>
      <c r="C164" t="s">
        <v>519</v>
      </c>
    </row>
    <row r="165" spans="1:3" ht="15" customHeight="1" x14ac:dyDescent="0.25">
      <c r="A165" t="s">
        <v>335</v>
      </c>
      <c r="B165" t="s">
        <v>525</v>
      </c>
      <c r="C165" t="s">
        <v>515</v>
      </c>
    </row>
    <row r="166" spans="1:3" ht="15" customHeight="1" x14ac:dyDescent="0.25">
      <c r="A166" t="s">
        <v>337</v>
      </c>
      <c r="B166" t="s">
        <v>525</v>
      </c>
      <c r="C166" t="s">
        <v>519</v>
      </c>
    </row>
    <row r="167" spans="1:3" ht="15" customHeight="1" x14ac:dyDescent="0.25">
      <c r="A167" t="s">
        <v>338</v>
      </c>
      <c r="B167" t="s">
        <v>532</v>
      </c>
      <c r="C167" t="s">
        <v>515</v>
      </c>
    </row>
    <row r="168" spans="1:3" ht="15" customHeight="1" x14ac:dyDescent="0.25">
      <c r="A168" t="s">
        <v>340</v>
      </c>
      <c r="B168" t="s">
        <v>522</v>
      </c>
      <c r="C168" t="s">
        <v>519</v>
      </c>
    </row>
    <row r="169" spans="1:3" ht="15" customHeight="1" x14ac:dyDescent="0.25">
      <c r="A169" t="s">
        <v>341</v>
      </c>
      <c r="B169" t="s">
        <v>524</v>
      </c>
      <c r="C169" t="s">
        <v>519</v>
      </c>
    </row>
    <row r="170" spans="1:3" ht="15" customHeight="1" x14ac:dyDescent="0.25">
      <c r="A170" t="s">
        <v>343</v>
      </c>
      <c r="B170" t="s">
        <v>535</v>
      </c>
      <c r="C170" t="s">
        <v>515</v>
      </c>
    </row>
    <row r="171" spans="1:3" ht="15" customHeight="1" x14ac:dyDescent="0.25">
      <c r="A171" t="s">
        <v>345</v>
      </c>
      <c r="B171" t="s">
        <v>522</v>
      </c>
      <c r="C171" t="s">
        <v>519</v>
      </c>
    </row>
    <row r="172" spans="1:3" ht="15" customHeight="1" x14ac:dyDescent="0.25">
      <c r="A172" t="s">
        <v>346</v>
      </c>
      <c r="B172" t="s">
        <v>528</v>
      </c>
      <c r="C172" t="s">
        <v>515</v>
      </c>
    </row>
    <row r="173" spans="1:3" ht="15" customHeight="1" x14ac:dyDescent="0.25">
      <c r="A173" t="s">
        <v>347</v>
      </c>
      <c r="B173" t="s">
        <v>514</v>
      </c>
      <c r="C173" t="s">
        <v>515</v>
      </c>
    </row>
    <row r="174" spans="1:3" ht="15" customHeight="1" x14ac:dyDescent="0.25">
      <c r="A174" t="s">
        <v>348</v>
      </c>
      <c r="B174" t="s">
        <v>516</v>
      </c>
      <c r="C174" t="s">
        <v>519</v>
      </c>
    </row>
    <row r="175" spans="1:3" ht="15" customHeight="1" x14ac:dyDescent="0.25">
      <c r="A175" t="s">
        <v>349</v>
      </c>
      <c r="B175" t="s">
        <v>521</v>
      </c>
      <c r="C175" t="s">
        <v>519</v>
      </c>
    </row>
    <row r="176" spans="1:3" ht="15" customHeight="1" x14ac:dyDescent="0.25">
      <c r="A176" t="s">
        <v>350</v>
      </c>
      <c r="B176" t="s">
        <v>521</v>
      </c>
      <c r="C176" t="s">
        <v>519</v>
      </c>
    </row>
    <row r="177" spans="1:3" ht="15" customHeight="1" x14ac:dyDescent="0.25">
      <c r="A177" t="s">
        <v>351</v>
      </c>
      <c r="B177" t="s">
        <v>533</v>
      </c>
      <c r="C177" t="s">
        <v>515</v>
      </c>
    </row>
    <row r="178" spans="1:3" ht="15" customHeight="1" x14ac:dyDescent="0.25">
      <c r="A178" t="s">
        <v>352</v>
      </c>
      <c r="B178" t="s">
        <v>520</v>
      </c>
      <c r="C178" t="s">
        <v>515</v>
      </c>
    </row>
    <row r="179" spans="1:3" ht="15" customHeight="1" x14ac:dyDescent="0.25">
      <c r="A179" t="s">
        <v>353</v>
      </c>
      <c r="B179" t="s">
        <v>540</v>
      </c>
      <c r="C179" t="s">
        <v>519</v>
      </c>
    </row>
    <row r="180" spans="1:3" ht="15" customHeight="1" x14ac:dyDescent="0.25">
      <c r="A180" t="s">
        <v>355</v>
      </c>
      <c r="B180" t="s">
        <v>517</v>
      </c>
      <c r="C180" t="s">
        <v>519</v>
      </c>
    </row>
    <row r="181" spans="1:3" ht="15" customHeight="1" x14ac:dyDescent="0.25">
      <c r="A181" t="s">
        <v>357</v>
      </c>
      <c r="B181" t="s">
        <v>529</v>
      </c>
      <c r="C181" t="s">
        <v>519</v>
      </c>
    </row>
    <row r="182" spans="1:3" ht="15" customHeight="1" x14ac:dyDescent="0.25">
      <c r="A182" t="s">
        <v>359</v>
      </c>
      <c r="B182" t="s">
        <v>516</v>
      </c>
      <c r="C182" t="s">
        <v>519</v>
      </c>
    </row>
    <row r="183" spans="1:3" ht="15" customHeight="1" x14ac:dyDescent="0.25">
      <c r="A183" t="s">
        <v>360</v>
      </c>
      <c r="B183" t="s">
        <v>525</v>
      </c>
      <c r="C183" t="s">
        <v>519</v>
      </c>
    </row>
    <row r="184" spans="1:3" ht="15" customHeight="1" x14ac:dyDescent="0.25">
      <c r="A184" t="s">
        <v>361</v>
      </c>
      <c r="B184" t="s">
        <v>527</v>
      </c>
      <c r="C184" t="s">
        <v>519</v>
      </c>
    </row>
    <row r="185" spans="1:3" ht="15" customHeight="1" x14ac:dyDescent="0.25">
      <c r="A185" t="s">
        <v>363</v>
      </c>
      <c r="B185" t="s">
        <v>529</v>
      </c>
      <c r="C185" t="s">
        <v>519</v>
      </c>
    </row>
    <row r="186" spans="1:3" ht="15" customHeight="1" x14ac:dyDescent="0.25">
      <c r="A186" t="s">
        <v>364</v>
      </c>
      <c r="B186" t="s">
        <v>523</v>
      </c>
      <c r="C186" t="s">
        <v>515</v>
      </c>
    </row>
    <row r="187" spans="1:3" ht="15" customHeight="1" x14ac:dyDescent="0.25">
      <c r="A187" t="s">
        <v>366</v>
      </c>
      <c r="B187" t="s">
        <v>535</v>
      </c>
      <c r="C187" t="s">
        <v>515</v>
      </c>
    </row>
    <row r="188" spans="1:3" ht="15" customHeight="1" x14ac:dyDescent="0.25">
      <c r="A188" t="s">
        <v>367</v>
      </c>
      <c r="B188" t="s">
        <v>521</v>
      </c>
      <c r="C188" t="s">
        <v>515</v>
      </c>
    </row>
    <row r="189" spans="1:3" ht="15" customHeight="1" x14ac:dyDescent="0.25">
      <c r="A189" t="s">
        <v>368</v>
      </c>
      <c r="B189" t="s">
        <v>547</v>
      </c>
      <c r="C189" t="s">
        <v>519</v>
      </c>
    </row>
    <row r="190" spans="1:3" ht="15" customHeight="1" x14ac:dyDescent="0.25">
      <c r="A190" t="s">
        <v>369</v>
      </c>
      <c r="B190" t="s">
        <v>536</v>
      </c>
      <c r="C190" t="s">
        <v>519</v>
      </c>
    </row>
    <row r="191" spans="1:3" ht="15" customHeight="1" x14ac:dyDescent="0.25">
      <c r="A191" t="s">
        <v>371</v>
      </c>
      <c r="B191" t="s">
        <v>516</v>
      </c>
      <c r="C191" t="s">
        <v>515</v>
      </c>
    </row>
    <row r="192" spans="1:3" ht="15" customHeight="1" x14ac:dyDescent="0.25">
      <c r="A192" t="s">
        <v>373</v>
      </c>
      <c r="B192" t="s">
        <v>516</v>
      </c>
      <c r="C192" t="s">
        <v>515</v>
      </c>
    </row>
    <row r="193" spans="1:3" ht="15" customHeight="1" x14ac:dyDescent="0.25">
      <c r="A193" t="s">
        <v>374</v>
      </c>
      <c r="B193" t="s">
        <v>545</v>
      </c>
      <c r="C193" t="s">
        <v>519</v>
      </c>
    </row>
    <row r="194" spans="1:3" ht="15" customHeight="1" x14ac:dyDescent="0.25">
      <c r="A194" t="s">
        <v>376</v>
      </c>
      <c r="B194" t="s">
        <v>516</v>
      </c>
      <c r="C194" t="s">
        <v>519</v>
      </c>
    </row>
    <row r="195" spans="1:3" ht="15" customHeight="1" x14ac:dyDescent="0.25">
      <c r="A195" t="s">
        <v>377</v>
      </c>
      <c r="B195" t="s">
        <v>521</v>
      </c>
      <c r="C195" t="s">
        <v>515</v>
      </c>
    </row>
    <row r="196" spans="1:3" ht="15" customHeight="1" x14ac:dyDescent="0.25">
      <c r="A196" t="s">
        <v>378</v>
      </c>
      <c r="B196" t="s">
        <v>520</v>
      </c>
      <c r="C196" t="s">
        <v>515</v>
      </c>
    </row>
    <row r="197" spans="1:3" ht="15" customHeight="1" x14ac:dyDescent="0.25">
      <c r="A197" t="s">
        <v>379</v>
      </c>
      <c r="B197" t="s">
        <v>541</v>
      </c>
      <c r="C197" t="s">
        <v>519</v>
      </c>
    </row>
    <row r="198" spans="1:3" ht="15" customHeight="1" x14ac:dyDescent="0.25">
      <c r="A198" t="s">
        <v>380</v>
      </c>
      <c r="B198" t="s">
        <v>550</v>
      </c>
      <c r="C198" t="s">
        <v>519</v>
      </c>
    </row>
    <row r="199" spans="1:3" ht="15" customHeight="1" x14ac:dyDescent="0.25">
      <c r="A199" t="s">
        <v>381</v>
      </c>
      <c r="B199" t="s">
        <v>549</v>
      </c>
      <c r="C199" t="s">
        <v>519</v>
      </c>
    </row>
    <row r="200" spans="1:3" ht="15" customHeight="1" x14ac:dyDescent="0.25">
      <c r="A200" t="s">
        <v>383</v>
      </c>
      <c r="B200" t="s">
        <v>528</v>
      </c>
      <c r="C200" t="s">
        <v>515</v>
      </c>
    </row>
    <row r="201" spans="1:3" ht="15" customHeight="1" x14ac:dyDescent="0.25">
      <c r="A201" t="s">
        <v>384</v>
      </c>
      <c r="B201" t="s">
        <v>514</v>
      </c>
      <c r="C201" t="s">
        <v>515</v>
      </c>
    </row>
    <row r="202" spans="1:3" ht="15" customHeight="1" x14ac:dyDescent="0.25">
      <c r="A202" t="s">
        <v>385</v>
      </c>
      <c r="B202" t="s">
        <v>520</v>
      </c>
      <c r="C202" t="s">
        <v>515</v>
      </c>
    </row>
    <row r="203" spans="1:3" ht="15" customHeight="1" x14ac:dyDescent="0.25">
      <c r="A203" t="s">
        <v>386</v>
      </c>
      <c r="B203" t="s">
        <v>540</v>
      </c>
      <c r="C203" t="s">
        <v>515</v>
      </c>
    </row>
    <row r="204" spans="1:3" ht="15" customHeight="1" x14ac:dyDescent="0.25">
      <c r="A204" t="s">
        <v>388</v>
      </c>
      <c r="B204" t="s">
        <v>525</v>
      </c>
      <c r="C204" t="s">
        <v>515</v>
      </c>
    </row>
    <row r="205" spans="1:3" ht="15" customHeight="1" x14ac:dyDescent="0.25">
      <c r="A205" t="s">
        <v>389</v>
      </c>
      <c r="B205" t="s">
        <v>543</v>
      </c>
      <c r="C205" t="s">
        <v>515</v>
      </c>
    </row>
    <row r="206" spans="1:3" ht="15" customHeight="1" x14ac:dyDescent="0.25">
      <c r="A206" t="s">
        <v>390</v>
      </c>
      <c r="B206" t="s">
        <v>514</v>
      </c>
      <c r="C206" t="s">
        <v>515</v>
      </c>
    </row>
    <row r="207" spans="1:3" ht="15" customHeight="1" x14ac:dyDescent="0.25">
      <c r="A207" t="s">
        <v>391</v>
      </c>
      <c r="B207" t="s">
        <v>528</v>
      </c>
      <c r="C207" t="s">
        <v>515</v>
      </c>
    </row>
    <row r="208" spans="1:3" ht="15" customHeight="1" x14ac:dyDescent="0.25">
      <c r="A208" t="s">
        <v>392</v>
      </c>
      <c r="B208" t="s">
        <v>531</v>
      </c>
      <c r="C208" t="s">
        <v>515</v>
      </c>
    </row>
    <row r="209" spans="1:3" ht="15" customHeight="1" x14ac:dyDescent="0.25">
      <c r="A209" t="s">
        <v>394</v>
      </c>
      <c r="B209" t="s">
        <v>516</v>
      </c>
      <c r="C209" t="s">
        <v>519</v>
      </c>
    </row>
    <row r="210" spans="1:3" ht="15" customHeight="1" x14ac:dyDescent="0.25">
      <c r="A210" t="s">
        <v>395</v>
      </c>
      <c r="B210" t="s">
        <v>550</v>
      </c>
      <c r="C210" t="s">
        <v>515</v>
      </c>
    </row>
    <row r="211" spans="1:3" ht="15" customHeight="1" x14ac:dyDescent="0.25">
      <c r="A211" t="s">
        <v>397</v>
      </c>
      <c r="B211" t="s">
        <v>546</v>
      </c>
      <c r="C211" t="s">
        <v>515</v>
      </c>
    </row>
    <row r="212" spans="1:3" ht="15" customHeight="1" x14ac:dyDescent="0.25">
      <c r="A212" t="s">
        <v>398</v>
      </c>
      <c r="B212" t="s">
        <v>514</v>
      </c>
      <c r="C212" t="s">
        <v>519</v>
      </c>
    </row>
    <row r="213" spans="1:3" ht="15" customHeight="1" x14ac:dyDescent="0.25">
      <c r="A213" t="s">
        <v>399</v>
      </c>
      <c r="B213" t="s">
        <v>521</v>
      </c>
      <c r="C213" t="s">
        <v>519</v>
      </c>
    </row>
    <row r="214" spans="1:3" ht="15" customHeight="1" x14ac:dyDescent="0.25">
      <c r="A214" t="s">
        <v>400</v>
      </c>
      <c r="B214" t="s">
        <v>518</v>
      </c>
      <c r="C214" t="s">
        <v>519</v>
      </c>
    </row>
    <row r="215" spans="1:3" ht="15" customHeight="1" x14ac:dyDescent="0.25">
      <c r="A215" t="s">
        <v>402</v>
      </c>
      <c r="B215" t="s">
        <v>531</v>
      </c>
      <c r="C215" t="s">
        <v>515</v>
      </c>
    </row>
    <row r="216" spans="1:3" ht="15" customHeight="1" x14ac:dyDescent="0.25">
      <c r="A216" t="s">
        <v>403</v>
      </c>
      <c r="B216" t="s">
        <v>528</v>
      </c>
      <c r="C216" t="s">
        <v>515</v>
      </c>
    </row>
    <row r="217" spans="1:3" ht="15" customHeight="1" x14ac:dyDescent="0.25">
      <c r="A217" t="s">
        <v>404</v>
      </c>
      <c r="B217" t="s">
        <v>551</v>
      </c>
      <c r="C217" t="s">
        <v>519</v>
      </c>
    </row>
    <row r="218" spans="1:3" ht="15" customHeight="1" x14ac:dyDescent="0.25">
      <c r="A218" t="s">
        <v>406</v>
      </c>
      <c r="B218" t="s">
        <v>525</v>
      </c>
      <c r="C218" t="s">
        <v>515</v>
      </c>
    </row>
    <row r="219" spans="1:3" ht="15" customHeight="1" x14ac:dyDescent="0.25">
      <c r="A219" t="s">
        <v>407</v>
      </c>
      <c r="B219" t="s">
        <v>530</v>
      </c>
      <c r="C219" t="s">
        <v>515</v>
      </c>
    </row>
    <row r="220" spans="1:3" ht="15" customHeight="1" x14ac:dyDescent="0.25">
      <c r="A220" t="s">
        <v>408</v>
      </c>
      <c r="B220" t="s">
        <v>520</v>
      </c>
      <c r="C220" t="s">
        <v>515</v>
      </c>
    </row>
    <row r="221" spans="1:3" ht="15" customHeight="1" x14ac:dyDescent="0.25">
      <c r="A221" t="s">
        <v>409</v>
      </c>
      <c r="B221" t="s">
        <v>528</v>
      </c>
      <c r="C221" t="s">
        <v>519</v>
      </c>
    </row>
    <row r="222" spans="1:3" ht="15" customHeight="1" x14ac:dyDescent="0.25">
      <c r="A222" t="s">
        <v>410</v>
      </c>
      <c r="B222" t="s">
        <v>551</v>
      </c>
      <c r="C222" t="s">
        <v>515</v>
      </c>
    </row>
    <row r="223" spans="1:3" ht="15" customHeight="1" x14ac:dyDescent="0.25">
      <c r="A223" t="s">
        <v>412</v>
      </c>
      <c r="B223" t="s">
        <v>539</v>
      </c>
      <c r="C223" t="s">
        <v>519</v>
      </c>
    </row>
    <row r="224" spans="1:3" ht="15" customHeight="1" x14ac:dyDescent="0.25">
      <c r="A224" t="s">
        <v>413</v>
      </c>
      <c r="B224" t="s">
        <v>514</v>
      </c>
      <c r="C224" t="s">
        <v>515</v>
      </c>
    </row>
    <row r="225" spans="1:3" ht="15" customHeight="1" x14ac:dyDescent="0.25">
      <c r="A225" t="s">
        <v>414</v>
      </c>
      <c r="B225" t="s">
        <v>514</v>
      </c>
      <c r="C225" t="s">
        <v>519</v>
      </c>
    </row>
    <row r="226" spans="1:3" ht="15" customHeight="1" x14ac:dyDescent="0.25">
      <c r="A226" t="s">
        <v>415</v>
      </c>
      <c r="B226" t="s">
        <v>541</v>
      </c>
      <c r="C226" t="s">
        <v>519</v>
      </c>
    </row>
    <row r="227" spans="1:3" ht="15" customHeight="1" x14ac:dyDescent="0.25">
      <c r="A227" t="s">
        <v>416</v>
      </c>
      <c r="B227" t="s">
        <v>538</v>
      </c>
      <c r="C227" t="s">
        <v>519</v>
      </c>
    </row>
    <row r="228" spans="1:3" ht="15" customHeight="1" x14ac:dyDescent="0.25">
      <c r="A228" t="s">
        <v>418</v>
      </c>
      <c r="B228" t="s">
        <v>516</v>
      </c>
      <c r="C228" t="s">
        <v>519</v>
      </c>
    </row>
    <row r="229" spans="1:3" ht="15" customHeight="1" x14ac:dyDescent="0.25">
      <c r="A229" t="s">
        <v>419</v>
      </c>
      <c r="B229" t="s">
        <v>533</v>
      </c>
      <c r="C229" t="s">
        <v>519</v>
      </c>
    </row>
    <row r="230" spans="1:3" ht="15" customHeight="1" x14ac:dyDescent="0.25">
      <c r="A230" t="s">
        <v>421</v>
      </c>
      <c r="B230" t="s">
        <v>516</v>
      </c>
      <c r="C230" t="s">
        <v>515</v>
      </c>
    </row>
    <row r="231" spans="1:3" ht="15" customHeight="1" x14ac:dyDescent="0.25">
      <c r="A231" t="s">
        <v>422</v>
      </c>
      <c r="B231" t="s">
        <v>528</v>
      </c>
      <c r="C231" t="s">
        <v>519</v>
      </c>
    </row>
    <row r="232" spans="1:3" ht="15" customHeight="1" x14ac:dyDescent="0.25">
      <c r="A232" t="s">
        <v>423</v>
      </c>
      <c r="B232" t="s">
        <v>514</v>
      </c>
      <c r="C232" t="s">
        <v>519</v>
      </c>
    </row>
    <row r="233" spans="1:3" ht="15" customHeight="1" x14ac:dyDescent="0.25">
      <c r="A233" t="s">
        <v>424</v>
      </c>
      <c r="B233" t="s">
        <v>531</v>
      </c>
      <c r="C233" t="s">
        <v>519</v>
      </c>
    </row>
    <row r="234" spans="1:3" ht="15" customHeight="1" x14ac:dyDescent="0.25">
      <c r="A234" t="s">
        <v>426</v>
      </c>
      <c r="B234" t="s">
        <v>545</v>
      </c>
      <c r="C234" t="s">
        <v>519</v>
      </c>
    </row>
    <row r="235" spans="1:3" ht="15" customHeight="1" x14ac:dyDescent="0.25">
      <c r="A235" t="s">
        <v>428</v>
      </c>
      <c r="B235" t="s">
        <v>532</v>
      </c>
      <c r="C235" t="s">
        <v>515</v>
      </c>
    </row>
    <row r="236" spans="1:3" ht="15" customHeight="1" x14ac:dyDescent="0.25">
      <c r="A236" t="s">
        <v>429</v>
      </c>
      <c r="B236" t="s">
        <v>542</v>
      </c>
      <c r="C236" t="s">
        <v>519</v>
      </c>
    </row>
    <row r="237" spans="1:3" ht="15" customHeight="1" x14ac:dyDescent="0.25">
      <c r="A237" t="s">
        <v>431</v>
      </c>
      <c r="B237" t="s">
        <v>543</v>
      </c>
      <c r="C237" t="s">
        <v>519</v>
      </c>
    </row>
    <row r="238" spans="1:3" ht="15" customHeight="1" x14ac:dyDescent="0.25">
      <c r="A238" t="s">
        <v>432</v>
      </c>
      <c r="B238" t="s">
        <v>547</v>
      </c>
      <c r="C238" t="s">
        <v>515</v>
      </c>
    </row>
    <row r="239" spans="1:3" ht="15" customHeight="1" x14ac:dyDescent="0.25">
      <c r="A239" t="s">
        <v>434</v>
      </c>
      <c r="B239" t="s">
        <v>551</v>
      </c>
      <c r="C239" t="s">
        <v>515</v>
      </c>
    </row>
    <row r="240" spans="1:3" ht="15" customHeight="1" x14ac:dyDescent="0.25">
      <c r="A240" t="s">
        <v>435</v>
      </c>
      <c r="B240" t="s">
        <v>525</v>
      </c>
      <c r="C240" t="s">
        <v>519</v>
      </c>
    </row>
    <row r="241" spans="1:3" ht="15" customHeight="1" x14ac:dyDescent="0.25">
      <c r="A241" t="s">
        <v>436</v>
      </c>
      <c r="B241" t="s">
        <v>516</v>
      </c>
      <c r="C241" t="s">
        <v>519</v>
      </c>
    </row>
    <row r="242" spans="1:3" ht="15" customHeight="1" x14ac:dyDescent="0.25">
      <c r="A242" t="s">
        <v>437</v>
      </c>
      <c r="B242" t="s">
        <v>525</v>
      </c>
      <c r="C242" t="s">
        <v>519</v>
      </c>
    </row>
    <row r="243" spans="1:3" ht="15" customHeight="1" x14ac:dyDescent="0.25">
      <c r="A243" t="s">
        <v>438</v>
      </c>
      <c r="B243" t="s">
        <v>529</v>
      </c>
      <c r="C243" t="s">
        <v>519</v>
      </c>
    </row>
    <row r="244" spans="1:3" ht="15" customHeight="1" x14ac:dyDescent="0.25">
      <c r="A244" t="s">
        <v>440</v>
      </c>
      <c r="B244" t="s">
        <v>521</v>
      </c>
      <c r="C244" t="s">
        <v>519</v>
      </c>
    </row>
    <row r="245" spans="1:3" ht="15" customHeight="1" x14ac:dyDescent="0.25">
      <c r="A245" t="s">
        <v>441</v>
      </c>
      <c r="B245" t="s">
        <v>524</v>
      </c>
      <c r="C245" t="s">
        <v>519</v>
      </c>
    </row>
    <row r="246" spans="1:3" ht="15" customHeight="1" x14ac:dyDescent="0.25">
      <c r="A246" t="s">
        <v>442</v>
      </c>
      <c r="B246" t="s">
        <v>528</v>
      </c>
      <c r="C246" t="s">
        <v>515</v>
      </c>
    </row>
    <row r="247" spans="1:3" ht="15" customHeight="1" x14ac:dyDescent="0.25">
      <c r="A247" t="s">
        <v>443</v>
      </c>
      <c r="B247" t="s">
        <v>521</v>
      </c>
      <c r="C247" t="s">
        <v>519</v>
      </c>
    </row>
    <row r="248" spans="1:3" ht="15" customHeight="1" x14ac:dyDescent="0.25">
      <c r="A248" t="s">
        <v>444</v>
      </c>
      <c r="B248" t="s">
        <v>514</v>
      </c>
      <c r="C248" t="s">
        <v>519</v>
      </c>
    </row>
    <row r="249" spans="1:3" ht="15" customHeight="1" x14ac:dyDescent="0.25">
      <c r="A249" t="s">
        <v>445</v>
      </c>
      <c r="B249" t="s">
        <v>532</v>
      </c>
      <c r="C249" t="s">
        <v>515</v>
      </c>
    </row>
    <row r="250" spans="1:3" ht="15" customHeight="1" x14ac:dyDescent="0.25">
      <c r="A250" t="s">
        <v>447</v>
      </c>
      <c r="B250" t="s">
        <v>532</v>
      </c>
      <c r="C250" t="s">
        <v>519</v>
      </c>
    </row>
    <row r="251" spans="1:3" ht="15" customHeight="1" x14ac:dyDescent="0.25">
      <c r="A251" t="s">
        <v>449</v>
      </c>
      <c r="B251" t="s">
        <v>521</v>
      </c>
      <c r="C251" t="s">
        <v>519</v>
      </c>
    </row>
    <row r="252" spans="1:3" ht="15" customHeight="1" x14ac:dyDescent="0.25">
      <c r="A252" t="s">
        <v>450</v>
      </c>
      <c r="B252" t="s">
        <v>532</v>
      </c>
      <c r="C252" t="s">
        <v>515</v>
      </c>
    </row>
    <row r="253" spans="1:3" ht="15" customHeight="1" x14ac:dyDescent="0.25">
      <c r="A253" t="s">
        <v>451</v>
      </c>
      <c r="B253" t="s">
        <v>526</v>
      </c>
      <c r="C253" t="s">
        <v>515</v>
      </c>
    </row>
    <row r="254" spans="1:3" ht="15" customHeight="1" x14ac:dyDescent="0.25">
      <c r="A254" t="s">
        <v>452</v>
      </c>
      <c r="B254" t="s">
        <v>528</v>
      </c>
      <c r="C254" t="s">
        <v>519</v>
      </c>
    </row>
    <row r="255" spans="1:3" ht="15" customHeight="1" x14ac:dyDescent="0.25">
      <c r="A255" t="s">
        <v>453</v>
      </c>
      <c r="B255" t="s">
        <v>516</v>
      </c>
      <c r="C255" t="s">
        <v>519</v>
      </c>
    </row>
    <row r="256" spans="1:3" ht="15" customHeight="1" x14ac:dyDescent="0.25">
      <c r="A256" t="s">
        <v>454</v>
      </c>
      <c r="B256" t="s">
        <v>541</v>
      </c>
      <c r="C256" t="s">
        <v>519</v>
      </c>
    </row>
    <row r="257" spans="1:3" ht="15" customHeight="1" x14ac:dyDescent="0.25">
      <c r="A257" t="s">
        <v>456</v>
      </c>
      <c r="B257" t="s">
        <v>533</v>
      </c>
      <c r="C257" t="s">
        <v>519</v>
      </c>
    </row>
    <row r="258" spans="1:3" ht="15" customHeight="1" x14ac:dyDescent="0.25">
      <c r="A258" t="s">
        <v>457</v>
      </c>
      <c r="B258" t="s">
        <v>517</v>
      </c>
      <c r="C258" t="s">
        <v>519</v>
      </c>
    </row>
    <row r="259" spans="1:3" ht="15" customHeight="1" x14ac:dyDescent="0.25">
      <c r="A259" t="s">
        <v>459</v>
      </c>
      <c r="B259" t="s">
        <v>528</v>
      </c>
      <c r="C259" t="s">
        <v>519</v>
      </c>
    </row>
    <row r="260" spans="1:3" ht="15" customHeight="1" x14ac:dyDescent="0.25">
      <c r="A260" t="s">
        <v>460</v>
      </c>
      <c r="B260" t="s">
        <v>521</v>
      </c>
      <c r="C260" t="s">
        <v>515</v>
      </c>
    </row>
    <row r="261" spans="1:3" ht="15" customHeight="1" x14ac:dyDescent="0.25">
      <c r="A261" t="s">
        <v>461</v>
      </c>
      <c r="B261" t="s">
        <v>514</v>
      </c>
      <c r="C261" t="s">
        <v>515</v>
      </c>
    </row>
    <row r="262" spans="1:3" ht="15" customHeight="1" x14ac:dyDescent="0.25">
      <c r="A262" t="s">
        <v>462</v>
      </c>
      <c r="B262" t="s">
        <v>544</v>
      </c>
      <c r="C262" t="s">
        <v>519</v>
      </c>
    </row>
    <row r="263" spans="1:3" ht="15" customHeight="1" x14ac:dyDescent="0.25">
      <c r="A263" t="s">
        <v>463</v>
      </c>
      <c r="B263" t="s">
        <v>525</v>
      </c>
      <c r="C263" t="s">
        <v>519</v>
      </c>
    </row>
    <row r="264" spans="1:3" ht="15" customHeight="1" x14ac:dyDescent="0.25">
      <c r="A264" t="s">
        <v>464</v>
      </c>
      <c r="B264" t="s">
        <v>551</v>
      </c>
      <c r="C264" t="s">
        <v>515</v>
      </c>
    </row>
    <row r="265" spans="1:3" ht="15" customHeight="1" x14ac:dyDescent="0.25">
      <c r="A265" t="s">
        <v>466</v>
      </c>
      <c r="B265" t="s">
        <v>528</v>
      </c>
      <c r="C265" t="s">
        <v>515</v>
      </c>
    </row>
    <row r="266" spans="1:3" ht="15" customHeight="1" x14ac:dyDescent="0.25">
      <c r="A266" t="s">
        <v>467</v>
      </c>
      <c r="B266" t="s">
        <v>521</v>
      </c>
      <c r="C266" t="s">
        <v>515</v>
      </c>
    </row>
    <row r="267" spans="1:3" ht="15" customHeight="1" x14ac:dyDescent="0.25">
      <c r="A267" t="s">
        <v>468</v>
      </c>
      <c r="B267" t="s">
        <v>534</v>
      </c>
      <c r="C267" t="s">
        <v>519</v>
      </c>
    </row>
    <row r="268" spans="1:3" ht="15" customHeight="1" x14ac:dyDescent="0.25">
      <c r="A268" t="s">
        <v>470</v>
      </c>
      <c r="B268" t="s">
        <v>524</v>
      </c>
      <c r="C268" t="s">
        <v>515</v>
      </c>
    </row>
    <row r="269" spans="1:3" ht="15" customHeight="1" x14ac:dyDescent="0.25">
      <c r="A269" t="s">
        <v>471</v>
      </c>
      <c r="B269" t="s">
        <v>548</v>
      </c>
      <c r="C269" t="s">
        <v>515</v>
      </c>
    </row>
    <row r="270" spans="1:3" ht="15" customHeight="1" x14ac:dyDescent="0.25">
      <c r="A270" t="s">
        <v>472</v>
      </c>
      <c r="B270" t="s">
        <v>550</v>
      </c>
      <c r="C270" t="s">
        <v>519</v>
      </c>
    </row>
    <row r="271" spans="1:3" ht="15" customHeight="1" x14ac:dyDescent="0.25">
      <c r="A271" t="s">
        <v>474</v>
      </c>
      <c r="B271" t="s">
        <v>525</v>
      </c>
      <c r="C271" t="s">
        <v>519</v>
      </c>
    </row>
    <row r="272" spans="1:3" ht="15" customHeight="1" x14ac:dyDescent="0.25">
      <c r="A272" t="s">
        <v>475</v>
      </c>
      <c r="B272" t="s">
        <v>520</v>
      </c>
      <c r="C272" t="s">
        <v>515</v>
      </c>
    </row>
    <row r="273" spans="1:3" ht="15" customHeight="1" x14ac:dyDescent="0.25">
      <c r="A273" t="s">
        <v>476</v>
      </c>
      <c r="B273" t="s">
        <v>549</v>
      </c>
      <c r="C273" t="s">
        <v>519</v>
      </c>
    </row>
    <row r="274" spans="1:3" ht="15" customHeight="1" x14ac:dyDescent="0.25">
      <c r="A274" t="s">
        <v>478</v>
      </c>
      <c r="B274" t="s">
        <v>521</v>
      </c>
      <c r="C274" t="s">
        <v>519</v>
      </c>
    </row>
    <row r="275" spans="1:3" ht="15" customHeight="1" x14ac:dyDescent="0.25">
      <c r="A275" t="s">
        <v>479</v>
      </c>
      <c r="B275" t="s">
        <v>538</v>
      </c>
      <c r="C275" t="s">
        <v>519</v>
      </c>
    </row>
    <row r="276" spans="1:3" ht="15" customHeight="1" x14ac:dyDescent="0.25">
      <c r="A276" t="s">
        <v>480</v>
      </c>
      <c r="B276" t="s">
        <v>521</v>
      </c>
      <c r="C276" t="s">
        <v>515</v>
      </c>
    </row>
    <row r="277" spans="1:3" ht="15" customHeight="1" x14ac:dyDescent="0.25">
      <c r="A277" t="s">
        <v>481</v>
      </c>
      <c r="B277" t="s">
        <v>516</v>
      </c>
      <c r="C277" t="s">
        <v>515</v>
      </c>
    </row>
    <row r="278" spans="1:3" ht="15" customHeight="1" x14ac:dyDescent="0.25">
      <c r="A278" t="s">
        <v>482</v>
      </c>
      <c r="B278" t="s">
        <v>514</v>
      </c>
      <c r="C278" t="s">
        <v>515</v>
      </c>
    </row>
    <row r="279" spans="1:3" ht="15" customHeight="1" x14ac:dyDescent="0.25">
      <c r="A279" t="s">
        <v>483</v>
      </c>
      <c r="B279" t="s">
        <v>532</v>
      </c>
      <c r="C279" t="s">
        <v>519</v>
      </c>
    </row>
    <row r="280" spans="1:3" ht="15" customHeight="1" x14ac:dyDescent="0.25">
      <c r="A280" t="s">
        <v>484</v>
      </c>
      <c r="B280" t="s">
        <v>547</v>
      </c>
      <c r="C280" t="s">
        <v>519</v>
      </c>
    </row>
    <row r="281" spans="1:3" ht="15" customHeight="1" x14ac:dyDescent="0.25">
      <c r="A281" t="s">
        <v>485</v>
      </c>
      <c r="B281" t="s">
        <v>520</v>
      </c>
      <c r="C281" t="s">
        <v>519</v>
      </c>
    </row>
    <row r="282" spans="1:3" ht="15" customHeight="1" x14ac:dyDescent="0.25">
      <c r="A282" t="s">
        <v>486</v>
      </c>
      <c r="B282" t="s">
        <v>516</v>
      </c>
      <c r="C282" t="s">
        <v>519</v>
      </c>
    </row>
    <row r="283" spans="1:3" ht="15" customHeight="1" x14ac:dyDescent="0.25">
      <c r="A283" t="s">
        <v>487</v>
      </c>
      <c r="B283" t="s">
        <v>548</v>
      </c>
      <c r="C283" t="s">
        <v>519</v>
      </c>
    </row>
    <row r="284" spans="1:3" ht="15" customHeight="1" x14ac:dyDescent="0.25">
      <c r="A284" t="s">
        <v>489</v>
      </c>
      <c r="B284" t="s">
        <v>518</v>
      </c>
      <c r="C284" t="s">
        <v>515</v>
      </c>
    </row>
    <row r="285" spans="1:3" ht="15" customHeight="1" x14ac:dyDescent="0.25">
      <c r="A285" t="s">
        <v>491</v>
      </c>
      <c r="B285" t="s">
        <v>517</v>
      </c>
      <c r="C285" t="s">
        <v>519</v>
      </c>
    </row>
    <row r="286" spans="1:3" ht="15" customHeight="1" x14ac:dyDescent="0.25">
      <c r="A286" t="s">
        <v>493</v>
      </c>
      <c r="B286" t="s">
        <v>548</v>
      </c>
      <c r="C286" t="s">
        <v>515</v>
      </c>
    </row>
    <row r="287" spans="1:3" ht="15" customHeight="1" x14ac:dyDescent="0.25">
      <c r="A287" t="s">
        <v>495</v>
      </c>
      <c r="B287" t="s">
        <v>520</v>
      </c>
      <c r="C287" t="s">
        <v>515</v>
      </c>
    </row>
    <row r="288" spans="1:3" ht="15" customHeight="1" x14ac:dyDescent="0.25">
      <c r="A288" t="s">
        <v>496</v>
      </c>
      <c r="B288" t="s">
        <v>525</v>
      </c>
      <c r="C288" t="s">
        <v>515</v>
      </c>
    </row>
    <row r="289" spans="1:3" ht="15" customHeight="1" x14ac:dyDescent="0.25">
      <c r="A289" t="s">
        <v>497</v>
      </c>
      <c r="B289" t="s">
        <v>521</v>
      </c>
      <c r="C289" t="s">
        <v>515</v>
      </c>
    </row>
    <row r="290" spans="1:3" ht="15" customHeight="1" x14ac:dyDescent="0.25">
      <c r="A290" t="s">
        <v>498</v>
      </c>
      <c r="B290" t="s">
        <v>516</v>
      </c>
      <c r="C290" t="s">
        <v>519</v>
      </c>
    </row>
    <row r="291" spans="1:3" ht="15" customHeight="1" x14ac:dyDescent="0.25">
      <c r="A291" t="s">
        <v>499</v>
      </c>
      <c r="B291" t="s">
        <v>534</v>
      </c>
      <c r="C291" t="s">
        <v>519</v>
      </c>
    </row>
    <row r="292" spans="1:3" ht="15" customHeight="1" x14ac:dyDescent="0.25">
      <c r="A292" t="s">
        <v>501</v>
      </c>
      <c r="B292" t="s">
        <v>516</v>
      </c>
      <c r="C292" t="s">
        <v>519</v>
      </c>
    </row>
    <row r="293" spans="1:3" ht="15" customHeight="1" x14ac:dyDescent="0.25">
      <c r="A293" t="s">
        <v>502</v>
      </c>
      <c r="B293" t="s">
        <v>518</v>
      </c>
      <c r="C293" t="s">
        <v>515</v>
      </c>
    </row>
    <row r="294" spans="1:3" ht="15" customHeight="1" x14ac:dyDescent="0.25">
      <c r="A294" t="s">
        <v>503</v>
      </c>
      <c r="B294" t="s">
        <v>521</v>
      </c>
      <c r="C294" t="s">
        <v>515</v>
      </c>
    </row>
    <row r="295" spans="1:3" ht="15" customHeight="1" x14ac:dyDescent="0.25">
      <c r="A295" t="s">
        <v>504</v>
      </c>
      <c r="B295" t="s">
        <v>514</v>
      </c>
      <c r="C295" t="s">
        <v>515</v>
      </c>
    </row>
    <row r="296" spans="1:3" ht="15" customHeight="1" x14ac:dyDescent="0.25">
      <c r="A296" t="s">
        <v>505</v>
      </c>
      <c r="B296" t="s">
        <v>528</v>
      </c>
      <c r="C296" t="s">
        <v>515</v>
      </c>
    </row>
    <row r="297" spans="1:3" ht="15" customHeight="1" x14ac:dyDescent="0.25">
      <c r="A297" t="s">
        <v>506</v>
      </c>
      <c r="B297" t="s">
        <v>520</v>
      </c>
      <c r="C297" t="s">
        <v>515</v>
      </c>
    </row>
    <row r="298" spans="1:3" ht="15" customHeight="1" x14ac:dyDescent="0.25">
      <c r="A298" t="s">
        <v>507</v>
      </c>
      <c r="B298" t="s">
        <v>544</v>
      </c>
      <c r="C298" t="s">
        <v>519</v>
      </c>
    </row>
    <row r="299" spans="1:3" ht="15" customHeight="1" x14ac:dyDescent="0.25">
      <c r="A299" t="s">
        <v>508</v>
      </c>
      <c r="B299" t="s">
        <v>525</v>
      </c>
      <c r="C299" t="s">
        <v>515</v>
      </c>
    </row>
    <row r="300" spans="1:3" ht="15" customHeight="1" x14ac:dyDescent="0.25">
      <c r="A300" t="s">
        <v>509</v>
      </c>
      <c r="B300" t="s">
        <v>530</v>
      </c>
      <c r="C300" t="s">
        <v>519</v>
      </c>
    </row>
    <row r="301" spans="1:3" ht="15" customHeight="1" x14ac:dyDescent="0.25">
      <c r="A301" t="s">
        <v>511</v>
      </c>
      <c r="B301" t="s">
        <v>538</v>
      </c>
      <c r="C301" t="s">
        <v>515</v>
      </c>
    </row>
  </sheetData>
  <autoFilter ref="A1:C30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
  <sheetViews>
    <sheetView zoomScaleNormal="100" workbookViewId="0">
      <pane ySplit="1" topLeftCell="A2" activePane="bottomLeft" state="frozen"/>
      <selection pane="bottomLeft"/>
    </sheetView>
  </sheetViews>
  <sheetFormatPr defaultColWidth="8.6640625" defaultRowHeight="13.2" x14ac:dyDescent="0.25"/>
  <cols>
    <col min="1" max="1" width="26" customWidth="1"/>
    <col min="2" max="2" width="34" customWidth="1"/>
    <col min="3" max="3" width="16" customWidth="1"/>
    <col min="4" max="4" width="60" customWidth="1"/>
    <col min="5" max="6" width="16" customWidth="1"/>
  </cols>
  <sheetData>
    <row r="1" spans="1:6" ht="23.25" customHeight="1" x14ac:dyDescent="0.25">
      <c r="A1" s="8" t="s">
        <v>552</v>
      </c>
      <c r="B1" s="8" t="s">
        <v>553</v>
      </c>
      <c r="C1" s="8" t="s">
        <v>554</v>
      </c>
      <c r="D1" s="8" t="s">
        <v>555</v>
      </c>
      <c r="E1" s="8" t="s">
        <v>556</v>
      </c>
      <c r="F1" s="8" t="s">
        <v>557</v>
      </c>
    </row>
    <row r="2" spans="1:6" ht="15" customHeight="1" x14ac:dyDescent="0.25">
      <c r="A2" t="s">
        <v>558</v>
      </c>
      <c r="B2" t="s">
        <v>62</v>
      </c>
      <c r="C2" t="s">
        <v>559</v>
      </c>
      <c r="D2" t="s">
        <v>72</v>
      </c>
      <c r="E2">
        <v>300</v>
      </c>
      <c r="F2">
        <v>300</v>
      </c>
    </row>
    <row r="3" spans="1:6" ht="15" customHeight="1" x14ac:dyDescent="0.25">
      <c r="A3" t="s">
        <v>558</v>
      </c>
      <c r="B3" t="s">
        <v>63</v>
      </c>
      <c r="C3" t="s">
        <v>559</v>
      </c>
      <c r="D3" t="s">
        <v>73</v>
      </c>
      <c r="E3">
        <v>300</v>
      </c>
      <c r="F3">
        <v>6</v>
      </c>
    </row>
    <row r="4" spans="1:6" ht="15" customHeight="1" x14ac:dyDescent="0.25">
      <c r="A4" t="s">
        <v>558</v>
      </c>
      <c r="B4" t="s">
        <v>64</v>
      </c>
      <c r="C4" t="s">
        <v>559</v>
      </c>
      <c r="D4" t="s">
        <v>74</v>
      </c>
      <c r="E4">
        <v>300</v>
      </c>
      <c r="F4">
        <v>4</v>
      </c>
    </row>
    <row r="5" spans="1:6" ht="15" customHeight="1" x14ac:dyDescent="0.25">
      <c r="A5" t="s">
        <v>558</v>
      </c>
      <c r="B5" t="s">
        <v>65</v>
      </c>
      <c r="C5" t="s">
        <v>560</v>
      </c>
      <c r="D5" t="s">
        <v>561</v>
      </c>
      <c r="E5">
        <v>300</v>
      </c>
      <c r="F5">
        <v>5</v>
      </c>
    </row>
    <row r="6" spans="1:6" ht="15" customHeight="1" x14ac:dyDescent="0.25">
      <c r="A6" t="s">
        <v>558</v>
      </c>
      <c r="B6" t="s">
        <v>66</v>
      </c>
      <c r="C6" t="s">
        <v>560</v>
      </c>
      <c r="D6" t="s">
        <v>561</v>
      </c>
      <c r="E6">
        <v>300</v>
      </c>
      <c r="F6">
        <v>5</v>
      </c>
    </row>
    <row r="7" spans="1:6" ht="15" customHeight="1" x14ac:dyDescent="0.25">
      <c r="A7" t="s">
        <v>558</v>
      </c>
      <c r="B7" t="s">
        <v>67</v>
      </c>
      <c r="C7" t="s">
        <v>560</v>
      </c>
      <c r="D7" t="s">
        <v>562</v>
      </c>
      <c r="E7">
        <v>300</v>
      </c>
      <c r="F7">
        <v>5</v>
      </c>
    </row>
    <row r="8" spans="1:6" ht="15" customHeight="1" x14ac:dyDescent="0.25">
      <c r="A8" t="s">
        <v>558</v>
      </c>
      <c r="B8" t="s">
        <v>68</v>
      </c>
      <c r="C8" t="s">
        <v>560</v>
      </c>
      <c r="D8" t="s">
        <v>563</v>
      </c>
      <c r="E8">
        <v>300</v>
      </c>
      <c r="F8">
        <v>5</v>
      </c>
    </row>
    <row r="9" spans="1:6" ht="15" customHeight="1" x14ac:dyDescent="0.25">
      <c r="A9" t="s">
        <v>558</v>
      </c>
      <c r="B9" t="s">
        <v>69</v>
      </c>
      <c r="C9" t="s">
        <v>560</v>
      </c>
      <c r="D9" t="s">
        <v>562</v>
      </c>
      <c r="E9">
        <v>300</v>
      </c>
      <c r="F9">
        <v>5</v>
      </c>
    </row>
    <row r="10" spans="1:6" ht="15" customHeight="1" x14ac:dyDescent="0.25">
      <c r="A10" t="s">
        <v>558</v>
      </c>
      <c r="B10" t="s">
        <v>70</v>
      </c>
      <c r="C10" t="s">
        <v>560</v>
      </c>
      <c r="D10" t="s">
        <v>564</v>
      </c>
      <c r="E10">
        <v>300</v>
      </c>
      <c r="F10">
        <v>10</v>
      </c>
    </row>
    <row r="11" spans="1:6" ht="15" customHeight="1" x14ac:dyDescent="0.25">
      <c r="A11" t="s">
        <v>558</v>
      </c>
      <c r="B11" t="s">
        <v>71</v>
      </c>
      <c r="C11" t="s">
        <v>559</v>
      </c>
      <c r="D11" t="s">
        <v>75</v>
      </c>
      <c r="E11">
        <v>300</v>
      </c>
      <c r="F11">
        <v>130</v>
      </c>
    </row>
    <row r="12" spans="1:6" ht="15" customHeight="1" x14ac:dyDescent="0.25">
      <c r="A12" t="s">
        <v>565</v>
      </c>
      <c r="B12" t="s">
        <v>62</v>
      </c>
      <c r="C12" t="s">
        <v>559</v>
      </c>
      <c r="D12" t="s">
        <v>72</v>
      </c>
      <c r="E12">
        <v>300</v>
      </c>
      <c r="F12">
        <v>300</v>
      </c>
    </row>
    <row r="13" spans="1:6" ht="15" customHeight="1" x14ac:dyDescent="0.25">
      <c r="A13" t="s">
        <v>565</v>
      </c>
      <c r="B13" t="s">
        <v>512</v>
      </c>
      <c r="C13" t="s">
        <v>559</v>
      </c>
      <c r="D13" t="s">
        <v>514</v>
      </c>
      <c r="E13">
        <v>300</v>
      </c>
      <c r="F13">
        <v>36</v>
      </c>
    </row>
    <row r="14" spans="1:6" ht="15" customHeight="1" x14ac:dyDescent="0.25">
      <c r="A14" t="s">
        <v>565</v>
      </c>
      <c r="B14" t="s">
        <v>513</v>
      </c>
      <c r="C14" t="s">
        <v>559</v>
      </c>
      <c r="D14" t="s">
        <v>515</v>
      </c>
      <c r="E14">
        <v>300</v>
      </c>
      <c r="F14">
        <v>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9"/>
  <sheetViews>
    <sheetView tabSelected="1" zoomScale="91" zoomScaleNormal="91" workbookViewId="0">
      <pane ySplit="3" topLeftCell="A4" activePane="bottomLeft" state="frozen"/>
      <selection activeCell="D1" sqref="D1"/>
      <selection pane="bottomLeft" activeCell="G11" sqref="G11"/>
    </sheetView>
  </sheetViews>
  <sheetFormatPr defaultColWidth="8.6640625" defaultRowHeight="13.2" x14ac:dyDescent="0.25"/>
  <cols>
    <col min="1" max="1" width="5" customWidth="1"/>
    <col min="2" max="3" width="12" customWidth="1"/>
    <col min="4" max="5" width="22" customWidth="1"/>
    <col min="6" max="8" width="58" customWidth="1"/>
    <col min="9" max="9" width="22" customWidth="1"/>
    <col min="10" max="10" width="34" customWidth="1"/>
  </cols>
  <sheetData>
    <row r="1" spans="1:11" ht="15" customHeight="1" x14ac:dyDescent="0.25">
      <c r="A1" s="10" t="s">
        <v>566</v>
      </c>
    </row>
    <row r="2" spans="1:11" ht="15" customHeight="1" x14ac:dyDescent="0.25">
      <c r="A2" s="12" t="s">
        <v>567</v>
      </c>
    </row>
    <row r="3" spans="1:11" ht="31.5" customHeight="1" x14ac:dyDescent="0.25">
      <c r="A3" s="8" t="s">
        <v>568</v>
      </c>
      <c r="B3" s="8" t="s">
        <v>569</v>
      </c>
      <c r="C3" s="8" t="s">
        <v>570</v>
      </c>
      <c r="D3" s="8" t="s">
        <v>571</v>
      </c>
      <c r="E3" s="8" t="s">
        <v>572</v>
      </c>
      <c r="F3" s="8" t="s">
        <v>573</v>
      </c>
      <c r="G3" s="8" t="s">
        <v>574</v>
      </c>
      <c r="H3" s="8" t="s">
        <v>575</v>
      </c>
      <c r="I3" s="8" t="s">
        <v>576</v>
      </c>
      <c r="J3" s="8" t="s">
        <v>577</v>
      </c>
    </row>
    <row r="4" spans="1:11" ht="43.5" customHeight="1" thickBot="1" x14ac:dyDescent="0.3">
      <c r="A4" s="13">
        <v>1</v>
      </c>
      <c r="B4" s="14">
        <v>46034</v>
      </c>
      <c r="C4" s="15" t="s">
        <v>578</v>
      </c>
      <c r="D4" s="15" t="s">
        <v>579</v>
      </c>
      <c r="E4" s="13" t="s">
        <v>580</v>
      </c>
      <c r="F4" s="16" t="s">
        <v>581</v>
      </c>
      <c r="G4" s="16" t="s">
        <v>582</v>
      </c>
      <c r="H4" s="16" t="s">
        <v>583</v>
      </c>
      <c r="I4" s="15" t="s">
        <v>584</v>
      </c>
      <c r="J4" s="16" t="s">
        <v>585</v>
      </c>
      <c r="K4" s="40"/>
    </row>
    <row r="5" spans="1:11" ht="102" customHeight="1" thickBot="1" x14ac:dyDescent="0.3">
      <c r="A5" s="17">
        <v>2</v>
      </c>
      <c r="B5" s="18"/>
      <c r="C5" s="41">
        <v>46298</v>
      </c>
      <c r="D5" s="42" t="s">
        <v>586</v>
      </c>
      <c r="E5" s="42" t="s">
        <v>762</v>
      </c>
      <c r="F5" s="43" t="s">
        <v>587</v>
      </c>
      <c r="G5" s="43" t="s">
        <v>588</v>
      </c>
      <c r="H5" s="43" t="s">
        <v>589</v>
      </c>
      <c r="I5" s="44" t="s">
        <v>590</v>
      </c>
      <c r="J5" s="43" t="s">
        <v>585</v>
      </c>
      <c r="K5" s="40" t="s">
        <v>746</v>
      </c>
    </row>
    <row r="6" spans="1:11" ht="66" customHeight="1" thickBot="1" x14ac:dyDescent="0.3">
      <c r="A6" s="17">
        <v>3</v>
      </c>
      <c r="B6" s="18"/>
      <c r="C6" s="41">
        <v>46298</v>
      </c>
      <c r="D6" s="42" t="s">
        <v>586</v>
      </c>
      <c r="E6" s="42" t="s">
        <v>762</v>
      </c>
      <c r="F6" s="43" t="s">
        <v>591</v>
      </c>
      <c r="G6" s="43" t="s">
        <v>592</v>
      </c>
      <c r="H6" s="43" t="s">
        <v>593</v>
      </c>
      <c r="I6" s="44" t="s">
        <v>590</v>
      </c>
      <c r="J6" s="43" t="s">
        <v>747</v>
      </c>
    </row>
    <row r="7" spans="1:11" ht="78" customHeight="1" thickBot="1" x14ac:dyDescent="0.3">
      <c r="A7" s="17">
        <v>4</v>
      </c>
      <c r="B7" s="18"/>
      <c r="C7" s="41">
        <v>46298</v>
      </c>
      <c r="D7" s="42" t="s">
        <v>586</v>
      </c>
      <c r="E7" s="42" t="s">
        <v>762</v>
      </c>
      <c r="F7" s="43" t="s">
        <v>594</v>
      </c>
      <c r="G7" s="43" t="s">
        <v>595</v>
      </c>
      <c r="H7" s="43" t="s">
        <v>596</v>
      </c>
      <c r="I7" s="44" t="s">
        <v>597</v>
      </c>
      <c r="J7" s="43" t="s">
        <v>748</v>
      </c>
    </row>
    <row r="8" spans="1:11" ht="78" customHeight="1" thickBot="1" x14ac:dyDescent="0.3">
      <c r="A8" s="17">
        <v>5</v>
      </c>
      <c r="B8" s="18"/>
      <c r="C8" s="41">
        <v>46298</v>
      </c>
      <c r="D8" s="42" t="s">
        <v>586</v>
      </c>
      <c r="E8" s="42" t="s">
        <v>762</v>
      </c>
      <c r="F8" s="43" t="s">
        <v>598</v>
      </c>
      <c r="G8" s="43" t="s">
        <v>599</v>
      </c>
      <c r="H8" s="43" t="s">
        <v>600</v>
      </c>
      <c r="I8" s="44" t="s">
        <v>590</v>
      </c>
      <c r="J8" s="43" t="s">
        <v>749</v>
      </c>
    </row>
    <row r="9" spans="1:11" ht="78" customHeight="1" thickBot="1" x14ac:dyDescent="0.3">
      <c r="A9" s="17">
        <v>6</v>
      </c>
      <c r="B9" s="18"/>
      <c r="C9" s="41">
        <v>46298</v>
      </c>
      <c r="D9" s="42" t="s">
        <v>586</v>
      </c>
      <c r="E9" s="42" t="s">
        <v>762</v>
      </c>
      <c r="F9" s="43" t="s">
        <v>601</v>
      </c>
      <c r="G9" s="43" t="s">
        <v>602</v>
      </c>
      <c r="H9" s="43" t="s">
        <v>603</v>
      </c>
      <c r="I9" s="44" t="s">
        <v>604</v>
      </c>
      <c r="J9" s="43" t="s">
        <v>750</v>
      </c>
    </row>
    <row r="10" spans="1:11" ht="78" customHeight="1" thickBot="1" x14ac:dyDescent="0.3">
      <c r="A10" s="17">
        <v>7</v>
      </c>
      <c r="B10" s="18"/>
      <c r="C10" s="41">
        <v>46298</v>
      </c>
      <c r="D10" s="42" t="s">
        <v>586</v>
      </c>
      <c r="E10" s="42" t="s">
        <v>762</v>
      </c>
      <c r="F10" s="43" t="s">
        <v>605</v>
      </c>
      <c r="G10" s="45" t="s">
        <v>763</v>
      </c>
      <c r="H10" s="43" t="s">
        <v>606</v>
      </c>
      <c r="I10" s="44" t="s">
        <v>590</v>
      </c>
      <c r="J10" s="43" t="s">
        <v>751</v>
      </c>
    </row>
    <row r="11" spans="1:11" ht="78" customHeight="1" thickBot="1" x14ac:dyDescent="0.3">
      <c r="A11" s="17">
        <v>8</v>
      </c>
      <c r="B11" s="18"/>
      <c r="C11" s="41">
        <v>46298</v>
      </c>
      <c r="D11" s="42" t="s">
        <v>586</v>
      </c>
      <c r="E11" s="42" t="s">
        <v>762</v>
      </c>
      <c r="F11" s="43" t="s">
        <v>605</v>
      </c>
      <c r="G11" s="43" t="s">
        <v>607</v>
      </c>
      <c r="H11" s="43" t="s">
        <v>608</v>
      </c>
      <c r="I11" s="44" t="s">
        <v>590</v>
      </c>
      <c r="J11" s="43" t="s">
        <v>752</v>
      </c>
    </row>
    <row r="12" spans="1:11" ht="78" customHeight="1" thickBot="1" x14ac:dyDescent="0.3">
      <c r="A12" s="17">
        <v>9</v>
      </c>
      <c r="B12" s="18"/>
      <c r="C12" s="41">
        <v>46298</v>
      </c>
      <c r="D12" s="42" t="s">
        <v>586</v>
      </c>
      <c r="E12" s="42" t="s">
        <v>762</v>
      </c>
      <c r="F12" s="43" t="s">
        <v>605</v>
      </c>
      <c r="G12" s="43" t="s">
        <v>609</v>
      </c>
      <c r="H12" s="43" t="s">
        <v>610</v>
      </c>
      <c r="I12" s="44" t="s">
        <v>590</v>
      </c>
      <c r="J12" s="43" t="s">
        <v>753</v>
      </c>
    </row>
    <row r="13" spans="1:11" ht="30" customHeight="1" thickBot="1" x14ac:dyDescent="0.3">
      <c r="A13" s="17">
        <v>10</v>
      </c>
      <c r="B13" s="18"/>
      <c r="C13" s="41">
        <v>46298</v>
      </c>
      <c r="D13" s="42" t="s">
        <v>586</v>
      </c>
      <c r="E13" s="42" t="s">
        <v>762</v>
      </c>
      <c r="F13" s="43" t="s">
        <v>611</v>
      </c>
      <c r="G13" s="43" t="s">
        <v>612</v>
      </c>
      <c r="H13" s="43" t="s">
        <v>613</v>
      </c>
      <c r="I13" s="44" t="s">
        <v>590</v>
      </c>
      <c r="J13" s="43" t="s">
        <v>754</v>
      </c>
    </row>
    <row r="14" spans="1:11" ht="90" customHeight="1" thickBot="1" x14ac:dyDescent="0.3">
      <c r="A14" s="17">
        <v>11</v>
      </c>
      <c r="B14" s="18"/>
      <c r="C14" s="41">
        <v>46298</v>
      </c>
      <c r="D14" s="42" t="s">
        <v>586</v>
      </c>
      <c r="E14" s="42" t="s">
        <v>762</v>
      </c>
      <c r="F14" s="43" t="s">
        <v>614</v>
      </c>
      <c r="G14" s="43" t="s">
        <v>615</v>
      </c>
      <c r="H14" s="43" t="s">
        <v>616</v>
      </c>
      <c r="I14" s="44" t="s">
        <v>590</v>
      </c>
      <c r="J14" s="43" t="s">
        <v>755</v>
      </c>
    </row>
    <row r="15" spans="1:11" ht="78" customHeight="1" thickBot="1" x14ac:dyDescent="0.3">
      <c r="A15" s="17">
        <v>12</v>
      </c>
      <c r="B15" s="18"/>
      <c r="C15" s="41">
        <v>46298</v>
      </c>
      <c r="D15" s="42" t="s">
        <v>586</v>
      </c>
      <c r="E15" s="42" t="s">
        <v>762</v>
      </c>
      <c r="F15" s="43" t="s">
        <v>617</v>
      </c>
      <c r="G15" s="43" t="s">
        <v>618</v>
      </c>
      <c r="H15" s="43" t="s">
        <v>619</v>
      </c>
      <c r="I15" s="44" t="s">
        <v>590</v>
      </c>
      <c r="J15" s="43" t="s">
        <v>756</v>
      </c>
    </row>
    <row r="16" spans="1:11" ht="78" customHeight="1" thickBot="1" x14ac:dyDescent="0.3">
      <c r="A16" s="17">
        <v>13</v>
      </c>
      <c r="B16" s="18"/>
      <c r="C16" s="41">
        <v>46298</v>
      </c>
      <c r="D16" s="42" t="s">
        <v>586</v>
      </c>
      <c r="E16" s="42" t="s">
        <v>762</v>
      </c>
      <c r="F16" s="43" t="s">
        <v>620</v>
      </c>
      <c r="G16" s="43" t="s">
        <v>621</v>
      </c>
      <c r="H16" s="43" t="s">
        <v>622</v>
      </c>
      <c r="I16" s="44" t="s">
        <v>623</v>
      </c>
      <c r="J16" s="43" t="s">
        <v>757</v>
      </c>
    </row>
    <row r="17" spans="1:10" ht="42" customHeight="1" thickBot="1" x14ac:dyDescent="0.3">
      <c r="A17" s="17">
        <v>14</v>
      </c>
      <c r="B17" s="18"/>
      <c r="C17" s="41">
        <v>46298</v>
      </c>
      <c r="D17" s="42" t="s">
        <v>586</v>
      </c>
      <c r="E17" s="42" t="s">
        <v>762</v>
      </c>
      <c r="F17" s="43" t="s">
        <v>624</v>
      </c>
      <c r="G17" s="43" t="s">
        <v>625</v>
      </c>
      <c r="H17" s="43" t="s">
        <v>626</v>
      </c>
      <c r="I17" s="44" t="s">
        <v>590</v>
      </c>
      <c r="J17" s="43" t="s">
        <v>758</v>
      </c>
    </row>
    <row r="18" spans="1:10" ht="114" customHeight="1" thickBot="1" x14ac:dyDescent="0.3">
      <c r="A18" s="17">
        <v>15</v>
      </c>
      <c r="B18" s="18"/>
      <c r="C18" s="41">
        <v>46298</v>
      </c>
      <c r="D18" s="42" t="s">
        <v>586</v>
      </c>
      <c r="E18" s="42" t="s">
        <v>762</v>
      </c>
      <c r="F18" s="43" t="s">
        <v>627</v>
      </c>
      <c r="G18" s="43" t="s">
        <v>628</v>
      </c>
      <c r="H18" s="43" t="s">
        <v>629</v>
      </c>
      <c r="I18" s="44" t="s">
        <v>630</v>
      </c>
      <c r="J18" s="43" t="s">
        <v>759</v>
      </c>
    </row>
    <row r="19" spans="1:10" ht="54" customHeight="1" thickBot="1" x14ac:dyDescent="0.3">
      <c r="A19" s="17">
        <v>16</v>
      </c>
      <c r="B19" s="18"/>
      <c r="C19" s="41">
        <v>46298</v>
      </c>
      <c r="D19" s="42" t="s">
        <v>586</v>
      </c>
      <c r="E19" s="42" t="s">
        <v>762</v>
      </c>
      <c r="F19" s="43" t="s">
        <v>631</v>
      </c>
      <c r="G19" s="43" t="s">
        <v>632</v>
      </c>
      <c r="H19" s="43" t="s">
        <v>633</v>
      </c>
      <c r="I19" s="44" t="s">
        <v>590</v>
      </c>
      <c r="J19" s="43" t="s">
        <v>760</v>
      </c>
    </row>
    <row r="20" spans="1:10" ht="78" customHeight="1" thickBot="1" x14ac:dyDescent="0.3">
      <c r="A20" s="17">
        <v>17</v>
      </c>
      <c r="B20" s="18"/>
      <c r="C20" s="41">
        <v>46298</v>
      </c>
      <c r="D20" s="42" t="s">
        <v>586</v>
      </c>
      <c r="E20" s="42" t="s">
        <v>762</v>
      </c>
      <c r="F20" s="43" t="s">
        <v>634</v>
      </c>
      <c r="G20" s="43" t="s">
        <v>635</v>
      </c>
      <c r="H20" s="43" t="s">
        <v>636</v>
      </c>
      <c r="I20" s="44" t="s">
        <v>637</v>
      </c>
      <c r="J20" s="43" t="s">
        <v>761</v>
      </c>
    </row>
    <row r="21" spans="1:10" ht="66" customHeight="1" thickBot="1" x14ac:dyDescent="0.3">
      <c r="A21" s="17">
        <v>18</v>
      </c>
      <c r="B21" s="18"/>
      <c r="C21" s="41">
        <v>46298</v>
      </c>
      <c r="D21" s="42" t="s">
        <v>586</v>
      </c>
      <c r="E21" s="42" t="s">
        <v>762</v>
      </c>
      <c r="F21" s="43" t="s">
        <v>638</v>
      </c>
      <c r="G21" s="43" t="s">
        <v>639</v>
      </c>
      <c r="H21" s="43" t="s">
        <v>640</v>
      </c>
      <c r="I21" s="44" t="s">
        <v>590</v>
      </c>
      <c r="J21" s="43" t="s">
        <v>745</v>
      </c>
    </row>
    <row r="22" spans="1:10" ht="114" customHeight="1" thickBot="1" x14ac:dyDescent="0.3">
      <c r="A22" s="17">
        <v>19</v>
      </c>
      <c r="B22" s="18"/>
      <c r="C22" s="41">
        <v>46298</v>
      </c>
      <c r="D22" s="42" t="s">
        <v>586</v>
      </c>
      <c r="E22" s="42" t="s">
        <v>762</v>
      </c>
      <c r="F22" s="43" t="s">
        <v>641</v>
      </c>
      <c r="G22" s="43" t="s">
        <v>642</v>
      </c>
      <c r="H22" s="43" t="s">
        <v>643</v>
      </c>
      <c r="I22" s="44" t="s">
        <v>590</v>
      </c>
      <c r="J22" s="43" t="s">
        <v>744</v>
      </c>
    </row>
    <row r="23" spans="1:10" ht="174" customHeight="1" thickBot="1" x14ac:dyDescent="0.3">
      <c r="A23" s="17">
        <v>20</v>
      </c>
      <c r="B23" s="18"/>
      <c r="C23" s="41">
        <v>46298</v>
      </c>
      <c r="D23" s="42" t="s">
        <v>586</v>
      </c>
      <c r="E23" s="42" t="s">
        <v>762</v>
      </c>
      <c r="F23" s="43" t="s">
        <v>644</v>
      </c>
      <c r="G23" s="43" t="s">
        <v>645</v>
      </c>
      <c r="H23" s="43" t="s">
        <v>646</v>
      </c>
      <c r="I23" s="44" t="s">
        <v>590</v>
      </c>
      <c r="J23" s="43" t="s">
        <v>743</v>
      </c>
    </row>
    <row r="24" spans="1:10" ht="42" customHeight="1" thickBot="1" x14ac:dyDescent="0.3">
      <c r="A24" s="17">
        <v>21</v>
      </c>
      <c r="B24" s="18"/>
      <c r="C24" s="41">
        <v>46298</v>
      </c>
      <c r="D24" s="42" t="s">
        <v>586</v>
      </c>
      <c r="E24" s="42" t="s">
        <v>762</v>
      </c>
      <c r="F24" s="43" t="s">
        <v>647</v>
      </c>
      <c r="G24" s="43" t="s">
        <v>648</v>
      </c>
      <c r="H24" s="43" t="s">
        <v>649</v>
      </c>
      <c r="I24" s="44" t="s">
        <v>590</v>
      </c>
      <c r="J24" s="43" t="s">
        <v>742</v>
      </c>
    </row>
    <row r="25" spans="1:10" ht="234" customHeight="1" thickBot="1" x14ac:dyDescent="0.3">
      <c r="A25" s="17">
        <v>22</v>
      </c>
      <c r="B25" s="18"/>
      <c r="C25" s="41">
        <v>46298</v>
      </c>
      <c r="D25" s="42" t="s">
        <v>586</v>
      </c>
      <c r="E25" s="42" t="s">
        <v>762</v>
      </c>
      <c r="F25" s="43" t="s">
        <v>650</v>
      </c>
      <c r="G25" s="43" t="s">
        <v>739</v>
      </c>
      <c r="H25" s="43"/>
      <c r="I25" s="44" t="s">
        <v>740</v>
      </c>
      <c r="J25" s="43" t="s">
        <v>741</v>
      </c>
    </row>
    <row r="26" spans="1:10" ht="15" customHeight="1" x14ac:dyDescent="0.25">
      <c r="A26" s="11"/>
      <c r="B26" s="19"/>
      <c r="C26" s="11"/>
      <c r="D26" s="11"/>
      <c r="E26" s="11"/>
      <c r="F26" s="11"/>
      <c r="G26" s="11"/>
      <c r="H26" s="11"/>
      <c r="I26" s="11"/>
      <c r="J26" s="11"/>
    </row>
    <row r="27" spans="1:10" ht="15" customHeight="1" x14ac:dyDescent="0.25">
      <c r="A27" s="11"/>
      <c r="B27" s="19"/>
      <c r="C27" s="11"/>
      <c r="D27" s="11"/>
      <c r="E27" s="11"/>
      <c r="F27" s="11"/>
      <c r="G27" s="11"/>
      <c r="H27" s="11"/>
      <c r="I27" s="11"/>
      <c r="J27" s="11"/>
    </row>
    <row r="28" spans="1:10" ht="15" customHeight="1" x14ac:dyDescent="0.25">
      <c r="A28" s="11"/>
      <c r="B28" s="19"/>
      <c r="C28" s="11"/>
      <c r="D28" s="11"/>
      <c r="E28" s="11"/>
      <c r="F28" s="11"/>
      <c r="G28" s="11"/>
      <c r="H28" s="11"/>
      <c r="I28" s="11"/>
      <c r="J28" s="11"/>
    </row>
    <row r="29" spans="1:10" ht="15" customHeight="1" x14ac:dyDescent="0.25">
      <c r="A29" s="11"/>
      <c r="B29" s="19"/>
      <c r="C29" s="11"/>
      <c r="D29" s="11"/>
      <c r="E29" s="11"/>
      <c r="F29" s="11"/>
      <c r="G29" s="11"/>
      <c r="H29" s="11"/>
      <c r="I29" s="11"/>
      <c r="J29" s="11"/>
    </row>
  </sheetData>
  <dataValidations count="1">
    <dataValidation type="list" allowBlank="1" sqref="I5:I29" xr:uid="{00000000-0002-0000-0400-000000000000}">
      <formula1>"Kept,Rejected,Partly kept"</formula1>
      <formula2>0</formula2>
    </dataValidation>
  </dataValidations>
  <hyperlinks>
    <hyperlink ref="K5" r:id="rId1" xr:uid="{8EAA5402-C0EE-4827-A71E-44AE585AE40F}"/>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8"/>
  <sheetViews>
    <sheetView zoomScaleNormal="100" workbookViewId="0">
      <pane ySplit="1" topLeftCell="A2" activePane="bottomLeft" state="frozen"/>
      <selection activeCell="M1" sqref="M1"/>
      <selection pane="bottomLeft"/>
    </sheetView>
  </sheetViews>
  <sheetFormatPr defaultColWidth="8.6640625" defaultRowHeight="13.2" x14ac:dyDescent="0.25"/>
  <cols>
    <col min="1" max="1" width="20" customWidth="1"/>
    <col min="2" max="2" width="34" customWidth="1"/>
    <col min="3" max="4" width="50" customWidth="1"/>
    <col min="5" max="5" width="28" customWidth="1"/>
  </cols>
  <sheetData>
    <row r="1" spans="1:5" ht="30" customHeight="1" x14ac:dyDescent="0.25">
      <c r="A1" s="20" t="s">
        <v>651</v>
      </c>
      <c r="B1" s="20" t="s">
        <v>652</v>
      </c>
      <c r="C1" s="20" t="s">
        <v>653</v>
      </c>
      <c r="D1" s="20" t="s">
        <v>654</v>
      </c>
      <c r="E1" s="20" t="s">
        <v>655</v>
      </c>
    </row>
    <row r="2" spans="1:5" ht="30.75" customHeight="1" x14ac:dyDescent="0.25">
      <c r="A2" s="21" t="s">
        <v>514</v>
      </c>
      <c r="B2" s="22" t="s">
        <v>656</v>
      </c>
      <c r="C2" s="22" t="s">
        <v>657</v>
      </c>
      <c r="D2" s="22" t="s">
        <v>658</v>
      </c>
      <c r="E2" s="22" t="s">
        <v>659</v>
      </c>
    </row>
    <row r="3" spans="1:5" ht="30.75" customHeight="1" x14ac:dyDescent="0.25">
      <c r="A3" s="21" t="s">
        <v>516</v>
      </c>
      <c r="B3" s="22" t="s">
        <v>660</v>
      </c>
      <c r="C3" s="22" t="s">
        <v>661</v>
      </c>
      <c r="D3" s="22" t="s">
        <v>662</v>
      </c>
      <c r="E3" s="22" t="s">
        <v>663</v>
      </c>
    </row>
    <row r="4" spans="1:5" ht="30.75" customHeight="1" x14ac:dyDescent="0.25">
      <c r="A4" s="21" t="s">
        <v>521</v>
      </c>
      <c r="B4" s="22" t="s">
        <v>664</v>
      </c>
      <c r="C4" s="22" t="s">
        <v>665</v>
      </c>
      <c r="D4" s="22" t="s">
        <v>666</v>
      </c>
      <c r="E4" s="22" t="s">
        <v>667</v>
      </c>
    </row>
    <row r="5" spans="1:5" ht="30.75" customHeight="1" x14ac:dyDescent="0.25">
      <c r="A5" s="21" t="s">
        <v>528</v>
      </c>
      <c r="B5" s="22" t="s">
        <v>668</v>
      </c>
      <c r="C5" s="22" t="s">
        <v>669</v>
      </c>
      <c r="D5" s="22" t="s">
        <v>670</v>
      </c>
      <c r="E5" s="22" t="s">
        <v>671</v>
      </c>
    </row>
    <row r="6" spans="1:5" ht="27.75" customHeight="1" x14ac:dyDescent="0.25">
      <c r="A6" s="21" t="s">
        <v>525</v>
      </c>
      <c r="B6" s="22" t="s">
        <v>672</v>
      </c>
      <c r="C6" s="22" t="s">
        <v>673</v>
      </c>
      <c r="D6" s="22" t="s">
        <v>674</v>
      </c>
      <c r="E6" s="22" t="s">
        <v>675</v>
      </c>
    </row>
    <row r="7" spans="1:5" ht="30.75" customHeight="1" x14ac:dyDescent="0.25">
      <c r="A7" s="21" t="s">
        <v>520</v>
      </c>
      <c r="B7" s="22" t="s">
        <v>676</v>
      </c>
      <c r="C7" s="22" t="s">
        <v>677</v>
      </c>
      <c r="D7" s="22" t="s">
        <v>678</v>
      </c>
      <c r="E7" s="22" t="s">
        <v>679</v>
      </c>
    </row>
    <row r="9" spans="1:5" ht="19.5" customHeight="1" x14ac:dyDescent="0.25">
      <c r="A9" s="23" t="s">
        <v>680</v>
      </c>
    </row>
    <row r="10" spans="1:5" ht="19.5" customHeight="1" x14ac:dyDescent="0.25">
      <c r="A10" s="1" t="s">
        <v>681</v>
      </c>
      <c r="B10" s="1"/>
      <c r="C10" s="1"/>
      <c r="D10" s="1"/>
      <c r="E10" s="1"/>
    </row>
    <row r="11" spans="1:5" ht="19.5" customHeight="1" x14ac:dyDescent="0.25">
      <c r="A11" s="1" t="s">
        <v>682</v>
      </c>
      <c r="B11" s="1"/>
      <c r="C11" s="1"/>
      <c r="D11" s="1"/>
      <c r="E11" s="1"/>
    </row>
    <row r="12" spans="1:5" ht="19.5" customHeight="1" x14ac:dyDescent="0.25">
      <c r="A12" s="1" t="s">
        <v>683</v>
      </c>
      <c r="B12" s="1"/>
      <c r="C12" s="1"/>
      <c r="D12" s="1"/>
      <c r="E12" s="1"/>
    </row>
    <row r="13" spans="1:5" ht="19.5" customHeight="1" x14ac:dyDescent="0.25">
      <c r="A13" s="1" t="s">
        <v>684</v>
      </c>
      <c r="B13" s="1"/>
      <c r="C13" s="1"/>
      <c r="D13" s="1"/>
      <c r="E13" s="1"/>
    </row>
    <row r="14" spans="1:5" ht="19.5" customHeight="1" x14ac:dyDescent="0.25">
      <c r="A14" s="1" t="s">
        <v>685</v>
      </c>
      <c r="B14" s="1"/>
      <c r="C14" s="1"/>
      <c r="D14" s="1"/>
      <c r="E14" s="1"/>
    </row>
    <row r="15" spans="1:5" ht="19.5" customHeight="1" x14ac:dyDescent="0.25">
      <c r="A15" s="1" t="s">
        <v>686</v>
      </c>
      <c r="B15" s="1"/>
      <c r="C15" s="1"/>
      <c r="D15" s="1"/>
      <c r="E15" s="1"/>
    </row>
    <row r="16" spans="1:5" ht="19.5" customHeight="1" x14ac:dyDescent="0.25">
      <c r="A16" s="1" t="s">
        <v>687</v>
      </c>
      <c r="B16" s="1"/>
      <c r="C16" s="1"/>
      <c r="D16" s="1"/>
      <c r="E16" s="1"/>
    </row>
    <row r="17" spans="1:5" ht="19.5" customHeight="1" x14ac:dyDescent="0.25">
      <c r="A17" s="1" t="s">
        <v>688</v>
      </c>
      <c r="B17" s="1"/>
      <c r="C17" s="1"/>
      <c r="D17" s="1"/>
      <c r="E17" s="1"/>
    </row>
    <row r="18" spans="1:5" ht="12.75" customHeight="1" x14ac:dyDescent="0.25"/>
  </sheetData>
  <mergeCells count="8">
    <mergeCell ref="A15:E15"/>
    <mergeCell ref="A16:E16"/>
    <mergeCell ref="A17:E17"/>
    <mergeCell ref="A10:E10"/>
    <mergeCell ref="A11:E11"/>
    <mergeCell ref="A12:E12"/>
    <mergeCell ref="A13:E13"/>
    <mergeCell ref="A14:E1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01"/>
  <sheetViews>
    <sheetView zoomScaleNormal="100" workbookViewId="0">
      <pane xSplit="1" ySplit="1" topLeftCell="J2" activePane="bottomRight" state="frozen"/>
      <selection pane="topRight" activeCell="B1" sqref="B1"/>
      <selection pane="bottomLeft" activeCell="A2" sqref="A2"/>
      <selection pane="bottomRight" activeCell="N3" sqref="N3"/>
    </sheetView>
  </sheetViews>
  <sheetFormatPr defaultColWidth="8.6640625" defaultRowHeight="13.2" x14ac:dyDescent="0.25"/>
  <cols>
    <col min="1" max="1" width="12" customWidth="1"/>
    <col min="2" max="2" width="17" customWidth="1"/>
    <col min="3" max="3" width="12" customWidth="1"/>
    <col min="4" max="8" width="14" customWidth="1"/>
    <col min="9" max="9" width="11" customWidth="1"/>
    <col min="10" max="10" width="58" customWidth="1"/>
    <col min="11" max="11" width="34" customWidth="1"/>
    <col min="12" max="12" width="11" customWidth="1"/>
    <col min="13" max="13" width="24" hidden="1" customWidth="1"/>
    <col min="14" max="18" width="24" customWidth="1"/>
  </cols>
  <sheetData>
    <row r="1" spans="1:18" ht="42" customHeight="1" x14ac:dyDescent="0.25">
      <c r="A1" s="20" t="s">
        <v>62</v>
      </c>
      <c r="B1" s="20" t="s">
        <v>63</v>
      </c>
      <c r="C1" s="20" t="s">
        <v>64</v>
      </c>
      <c r="D1" s="20" t="s">
        <v>65</v>
      </c>
      <c r="E1" s="20" t="s">
        <v>66</v>
      </c>
      <c r="F1" s="20" t="s">
        <v>67</v>
      </c>
      <c r="G1" s="20" t="s">
        <v>68</v>
      </c>
      <c r="H1" s="20" t="s">
        <v>69</v>
      </c>
      <c r="I1" s="20" t="s">
        <v>70</v>
      </c>
      <c r="J1" s="20" t="s">
        <v>71</v>
      </c>
      <c r="K1" s="20" t="s">
        <v>689</v>
      </c>
      <c r="L1" s="20" t="s">
        <v>690</v>
      </c>
      <c r="M1" s="24" t="s">
        <v>691</v>
      </c>
      <c r="N1" s="24" t="s">
        <v>692</v>
      </c>
      <c r="O1" s="24" t="s">
        <v>693</v>
      </c>
      <c r="P1" s="24" t="s">
        <v>694</v>
      </c>
      <c r="Q1" s="24" t="s">
        <v>695</v>
      </c>
      <c r="R1" s="24" t="s">
        <v>696</v>
      </c>
    </row>
    <row r="2" spans="1:18" ht="15" customHeight="1" x14ac:dyDescent="0.25">
      <c r="A2" s="25" t="s">
        <v>72</v>
      </c>
      <c r="B2" s="26" t="s">
        <v>73</v>
      </c>
      <c r="C2" s="25" t="s">
        <v>74</v>
      </c>
      <c r="D2" s="25">
        <v>4</v>
      </c>
      <c r="E2" s="25">
        <v>4</v>
      </c>
      <c r="F2" s="25">
        <v>5</v>
      </c>
      <c r="G2" s="25">
        <v>3</v>
      </c>
      <c r="H2" s="25">
        <v>5</v>
      </c>
      <c r="I2" s="25">
        <v>8</v>
      </c>
      <c r="J2" s="26" t="s">
        <v>75</v>
      </c>
      <c r="K2" s="26" t="s">
        <v>514</v>
      </c>
      <c r="L2" s="25" t="s">
        <v>515</v>
      </c>
      <c r="M2" s="27" t="str">
        <f t="shared" ref="M2:M65" si="0">IF(AND(ISNUMBER(SEARCH("Manager support",K2)),L2="Negative"),"Manager support Negative","Everyone else")</f>
        <v>Everyone else</v>
      </c>
      <c r="N2" s="27" t="str">
        <f t="shared" ref="N2:N65" si="1">IF(AND(ISNUMBER(SEARCH("Flexibility",K2)),L2="Negative"),"Flexibility Negative","Everyone else")</f>
        <v>Everyone else</v>
      </c>
      <c r="O2" s="27" t="str">
        <f t="shared" ref="O2:O65" si="2">IF(AND(ISNUMBER(SEARCH("Workload",K2)),L2="Negative"),"Workload Negative","Everyone else")</f>
        <v>Everyone else</v>
      </c>
      <c r="P2" s="27" t="str">
        <f t="shared" ref="P2:P65" si="3">IF(AND(ISNUMBER(SEARCH("Tools and systems",K2)),L2="Negative"),"Tools and systems Negative","Everyone else")</f>
        <v>Everyone else</v>
      </c>
      <c r="Q2" s="27" t="str">
        <f t="shared" ref="Q2:Q65" si="4">IF(AND(ISNUMBER(SEARCH("Pay and benefits",K2)),L2="Negative"),"Pay and benefits Negative","Everyone else")</f>
        <v>Everyone else</v>
      </c>
      <c r="R2" s="27" t="str">
        <f t="shared" ref="R2:R65" si="5">IF(AND(ISNUMBER(SEARCH("Career growth",K2)),L2="Negative"),"Career growth Negative","Everyone else")</f>
        <v>Everyone else</v>
      </c>
    </row>
    <row r="3" spans="1:18" ht="23.25" customHeight="1" x14ac:dyDescent="0.25">
      <c r="A3" s="25" t="s">
        <v>76</v>
      </c>
      <c r="B3" s="26" t="s">
        <v>77</v>
      </c>
      <c r="C3" s="25" t="s">
        <v>74</v>
      </c>
      <c r="D3" s="25">
        <v>4</v>
      </c>
      <c r="E3" s="25">
        <v>4</v>
      </c>
      <c r="F3" s="25">
        <v>5</v>
      </c>
      <c r="G3" s="25">
        <v>4</v>
      </c>
      <c r="H3" s="25">
        <v>4</v>
      </c>
      <c r="I3" s="25">
        <v>7</v>
      </c>
      <c r="J3" s="26" t="s">
        <v>78</v>
      </c>
      <c r="K3" s="26" t="s">
        <v>516</v>
      </c>
      <c r="L3" s="25" t="s">
        <v>515</v>
      </c>
      <c r="M3" s="27" t="str">
        <f t="shared" si="0"/>
        <v>Everyone else</v>
      </c>
      <c r="N3" s="27" t="str">
        <f t="shared" si="1"/>
        <v>Everyone else</v>
      </c>
      <c r="O3" s="27" t="str">
        <f t="shared" si="2"/>
        <v>Everyone else</v>
      </c>
      <c r="P3" s="27" t="str">
        <f t="shared" si="3"/>
        <v>Everyone else</v>
      </c>
      <c r="Q3" s="27" t="str">
        <f t="shared" si="4"/>
        <v>Everyone else</v>
      </c>
      <c r="R3" s="27" t="str">
        <f t="shared" si="5"/>
        <v>Everyone else</v>
      </c>
    </row>
    <row r="4" spans="1:18" ht="23.25" customHeight="1" x14ac:dyDescent="0.25">
      <c r="A4" s="25" t="s">
        <v>79</v>
      </c>
      <c r="B4" s="26" t="s">
        <v>73</v>
      </c>
      <c r="C4" s="25" t="s">
        <v>74</v>
      </c>
      <c r="D4" s="25">
        <v>4</v>
      </c>
      <c r="E4" s="25">
        <v>4</v>
      </c>
      <c r="F4" s="25">
        <v>4</v>
      </c>
      <c r="G4" s="25">
        <v>3</v>
      </c>
      <c r="H4" s="25">
        <v>4</v>
      </c>
      <c r="I4" s="25">
        <v>8</v>
      </c>
      <c r="J4" s="26" t="s">
        <v>80</v>
      </c>
      <c r="K4" s="26" t="s">
        <v>517</v>
      </c>
      <c r="L4" s="25" t="s">
        <v>515</v>
      </c>
      <c r="M4" s="27" t="str">
        <f t="shared" si="0"/>
        <v>Everyone else</v>
      </c>
      <c r="N4" s="27" t="str">
        <f t="shared" si="1"/>
        <v>Everyone else</v>
      </c>
      <c r="O4" s="27" t="str">
        <f t="shared" si="2"/>
        <v>Everyone else</v>
      </c>
      <c r="P4" s="27" t="str">
        <f t="shared" si="3"/>
        <v>Everyone else</v>
      </c>
      <c r="Q4" s="27" t="str">
        <f t="shared" si="4"/>
        <v>Everyone else</v>
      </c>
      <c r="R4" s="27" t="str">
        <f t="shared" si="5"/>
        <v>Everyone else</v>
      </c>
    </row>
    <row r="5" spans="1:18" ht="34.5" customHeight="1" x14ac:dyDescent="0.25">
      <c r="A5" s="25" t="s">
        <v>81</v>
      </c>
      <c r="B5" s="26" t="s">
        <v>82</v>
      </c>
      <c r="C5" s="25" t="s">
        <v>74</v>
      </c>
      <c r="D5" s="25">
        <v>3</v>
      </c>
      <c r="E5" s="25">
        <v>3</v>
      </c>
      <c r="F5" s="25">
        <v>2</v>
      </c>
      <c r="G5" s="25">
        <v>2</v>
      </c>
      <c r="H5" s="25">
        <v>2</v>
      </c>
      <c r="I5" s="25">
        <v>4</v>
      </c>
      <c r="J5" s="26" t="s">
        <v>83</v>
      </c>
      <c r="K5" s="26" t="s">
        <v>518</v>
      </c>
      <c r="L5" s="25" t="s">
        <v>519</v>
      </c>
      <c r="M5" s="27" t="str">
        <f t="shared" si="0"/>
        <v>Manager support Negative</v>
      </c>
      <c r="N5" s="27" t="str">
        <f t="shared" si="1"/>
        <v>Everyone else</v>
      </c>
      <c r="O5" s="27" t="str">
        <f t="shared" si="2"/>
        <v>Everyone else</v>
      </c>
      <c r="P5" s="27" t="str">
        <f t="shared" si="3"/>
        <v>Tools and systems Negative</v>
      </c>
      <c r="Q5" s="27" t="str">
        <f t="shared" si="4"/>
        <v>Everyone else</v>
      </c>
      <c r="R5" s="27" t="str">
        <f t="shared" si="5"/>
        <v>Everyone else</v>
      </c>
    </row>
    <row r="6" spans="1:18" ht="15" customHeight="1" x14ac:dyDescent="0.25">
      <c r="A6" s="25" t="s">
        <v>84</v>
      </c>
      <c r="B6" s="26" t="s">
        <v>73</v>
      </c>
      <c r="C6" s="25" t="s">
        <v>85</v>
      </c>
      <c r="D6" s="25">
        <v>4</v>
      </c>
      <c r="E6" s="25">
        <v>5</v>
      </c>
      <c r="F6" s="25">
        <v>5</v>
      </c>
      <c r="G6" s="25">
        <v>4</v>
      </c>
      <c r="H6" s="25">
        <v>4</v>
      </c>
      <c r="I6" s="25">
        <v>8</v>
      </c>
      <c r="J6" s="26" t="s">
        <v>86</v>
      </c>
      <c r="K6" s="26" t="s">
        <v>520</v>
      </c>
      <c r="L6" s="25" t="s">
        <v>515</v>
      </c>
      <c r="M6" s="27" t="str">
        <f t="shared" si="0"/>
        <v>Everyone else</v>
      </c>
      <c r="N6" s="27" t="str">
        <f t="shared" si="1"/>
        <v>Everyone else</v>
      </c>
      <c r="O6" s="27" t="str">
        <f t="shared" si="2"/>
        <v>Everyone else</v>
      </c>
      <c r="P6" s="27" t="str">
        <f t="shared" si="3"/>
        <v>Everyone else</v>
      </c>
      <c r="Q6" s="27" t="str">
        <f t="shared" si="4"/>
        <v>Everyone else</v>
      </c>
      <c r="R6" s="27" t="str">
        <f t="shared" si="5"/>
        <v>Everyone else</v>
      </c>
    </row>
    <row r="7" spans="1:18" ht="23.25" customHeight="1" x14ac:dyDescent="0.25">
      <c r="A7" s="25" t="s">
        <v>87</v>
      </c>
      <c r="B7" s="26" t="s">
        <v>82</v>
      </c>
      <c r="C7" s="25" t="s">
        <v>88</v>
      </c>
      <c r="D7" s="25">
        <v>4</v>
      </c>
      <c r="E7" s="25">
        <v>4</v>
      </c>
      <c r="F7" s="25">
        <v>2</v>
      </c>
      <c r="G7" s="25">
        <v>3</v>
      </c>
      <c r="H7" s="25">
        <v>3</v>
      </c>
      <c r="I7" s="25">
        <v>7</v>
      </c>
      <c r="J7" s="26" t="s">
        <v>89</v>
      </c>
      <c r="K7" s="26" t="s">
        <v>521</v>
      </c>
      <c r="L7" s="25" t="s">
        <v>519</v>
      </c>
      <c r="M7" s="27" t="str">
        <f t="shared" si="0"/>
        <v>Everyone else</v>
      </c>
      <c r="N7" s="27" t="str">
        <f t="shared" si="1"/>
        <v>Everyone else</v>
      </c>
      <c r="O7" s="27" t="str">
        <f t="shared" si="2"/>
        <v>Workload Negative</v>
      </c>
      <c r="P7" s="27" t="str">
        <f t="shared" si="3"/>
        <v>Everyone else</v>
      </c>
      <c r="Q7" s="27" t="str">
        <f t="shared" si="4"/>
        <v>Everyone else</v>
      </c>
      <c r="R7" s="27" t="str">
        <f t="shared" si="5"/>
        <v>Everyone else</v>
      </c>
    </row>
    <row r="8" spans="1:18" ht="23.25" customHeight="1" x14ac:dyDescent="0.25">
      <c r="A8" s="25" t="s">
        <v>90</v>
      </c>
      <c r="B8" s="26" t="s">
        <v>91</v>
      </c>
      <c r="C8" s="25" t="s">
        <v>88</v>
      </c>
      <c r="D8" s="25">
        <v>3</v>
      </c>
      <c r="E8" s="25">
        <v>3</v>
      </c>
      <c r="F8" s="25">
        <v>2</v>
      </c>
      <c r="G8" s="25">
        <v>3</v>
      </c>
      <c r="H8" s="25">
        <v>4</v>
      </c>
      <c r="I8" s="25">
        <v>7</v>
      </c>
      <c r="J8" s="26" t="s">
        <v>92</v>
      </c>
      <c r="K8" s="26" t="s">
        <v>520</v>
      </c>
      <c r="L8" s="25" t="s">
        <v>519</v>
      </c>
      <c r="M8" s="27" t="str">
        <f t="shared" si="0"/>
        <v>Everyone else</v>
      </c>
      <c r="N8" s="27" t="str">
        <f t="shared" si="1"/>
        <v>Everyone else</v>
      </c>
      <c r="O8" s="27" t="str">
        <f t="shared" si="2"/>
        <v>Everyone else</v>
      </c>
      <c r="P8" s="27" t="str">
        <f t="shared" si="3"/>
        <v>Everyone else</v>
      </c>
      <c r="Q8" s="27" t="str">
        <f t="shared" si="4"/>
        <v>Everyone else</v>
      </c>
      <c r="R8" s="27" t="str">
        <f t="shared" si="5"/>
        <v>Career growth Negative</v>
      </c>
    </row>
    <row r="9" spans="1:18" ht="34.5" customHeight="1" x14ac:dyDescent="0.25">
      <c r="A9" s="25" t="s">
        <v>93</v>
      </c>
      <c r="B9" s="26" t="s">
        <v>73</v>
      </c>
      <c r="C9" s="25" t="s">
        <v>94</v>
      </c>
      <c r="D9" s="25">
        <v>2</v>
      </c>
      <c r="E9" s="25">
        <v>2</v>
      </c>
      <c r="F9" s="25">
        <v>3</v>
      </c>
      <c r="G9" s="25">
        <v>3</v>
      </c>
      <c r="H9" s="25">
        <v>4</v>
      </c>
      <c r="I9" s="25">
        <v>5</v>
      </c>
      <c r="J9" s="26" t="s">
        <v>95</v>
      </c>
      <c r="K9" s="26" t="s">
        <v>522</v>
      </c>
      <c r="L9" s="25" t="s">
        <v>519</v>
      </c>
      <c r="M9" s="27" t="str">
        <f t="shared" si="0"/>
        <v>Manager support Negative</v>
      </c>
      <c r="N9" s="27" t="str">
        <f t="shared" si="1"/>
        <v>Everyone else</v>
      </c>
      <c r="O9" s="27" t="str">
        <f t="shared" si="2"/>
        <v>Everyone else</v>
      </c>
      <c r="P9" s="27" t="str">
        <f t="shared" si="3"/>
        <v>Everyone else</v>
      </c>
      <c r="Q9" s="27" t="str">
        <f t="shared" si="4"/>
        <v>Pay and benefits Negative</v>
      </c>
      <c r="R9" s="27" t="str">
        <f t="shared" si="5"/>
        <v>Everyone else</v>
      </c>
    </row>
    <row r="10" spans="1:18" ht="34.5" customHeight="1" x14ac:dyDescent="0.25">
      <c r="A10" s="25" t="s">
        <v>96</v>
      </c>
      <c r="B10" s="26" t="s">
        <v>77</v>
      </c>
      <c r="C10" s="25" t="s">
        <v>74</v>
      </c>
      <c r="D10" s="25">
        <v>2</v>
      </c>
      <c r="E10" s="25">
        <v>4</v>
      </c>
      <c r="F10" s="25">
        <v>3</v>
      </c>
      <c r="G10" s="25">
        <v>3</v>
      </c>
      <c r="H10" s="25">
        <v>4</v>
      </c>
      <c r="I10" s="25">
        <v>5</v>
      </c>
      <c r="J10" s="26" t="s">
        <v>97</v>
      </c>
      <c r="K10" s="26" t="s">
        <v>514</v>
      </c>
      <c r="L10" s="25" t="s">
        <v>519</v>
      </c>
      <c r="M10" s="27" t="str">
        <f t="shared" si="0"/>
        <v>Manager support Negative</v>
      </c>
      <c r="N10" s="27" t="str">
        <f t="shared" si="1"/>
        <v>Everyone else</v>
      </c>
      <c r="O10" s="27" t="str">
        <f t="shared" si="2"/>
        <v>Everyone else</v>
      </c>
      <c r="P10" s="27" t="str">
        <f t="shared" si="3"/>
        <v>Everyone else</v>
      </c>
      <c r="Q10" s="27" t="str">
        <f t="shared" si="4"/>
        <v>Everyone else</v>
      </c>
      <c r="R10" s="27" t="str">
        <f t="shared" si="5"/>
        <v>Everyone else</v>
      </c>
    </row>
    <row r="11" spans="1:18" ht="23.25" customHeight="1" x14ac:dyDescent="0.25">
      <c r="A11" s="25" t="s">
        <v>98</v>
      </c>
      <c r="B11" s="26" t="s">
        <v>77</v>
      </c>
      <c r="C11" s="25" t="s">
        <v>85</v>
      </c>
      <c r="D11" s="25">
        <v>3</v>
      </c>
      <c r="E11" s="25">
        <v>3</v>
      </c>
      <c r="F11" s="25">
        <v>3</v>
      </c>
      <c r="G11" s="25">
        <v>4</v>
      </c>
      <c r="H11" s="25">
        <v>2</v>
      </c>
      <c r="I11" s="25">
        <v>4</v>
      </c>
      <c r="J11" s="26" t="s">
        <v>99</v>
      </c>
      <c r="K11" s="26" t="s">
        <v>520</v>
      </c>
      <c r="L11" s="25" t="s">
        <v>519</v>
      </c>
      <c r="M11" s="27" t="str">
        <f t="shared" si="0"/>
        <v>Everyone else</v>
      </c>
      <c r="N11" s="27" t="str">
        <f t="shared" si="1"/>
        <v>Everyone else</v>
      </c>
      <c r="O11" s="27" t="str">
        <f t="shared" si="2"/>
        <v>Everyone else</v>
      </c>
      <c r="P11" s="27" t="str">
        <f t="shared" si="3"/>
        <v>Everyone else</v>
      </c>
      <c r="Q11" s="27" t="str">
        <f t="shared" si="4"/>
        <v>Everyone else</v>
      </c>
      <c r="R11" s="27" t="str">
        <f t="shared" si="5"/>
        <v>Career growth Negative</v>
      </c>
    </row>
    <row r="12" spans="1:18" ht="23.25" customHeight="1" x14ac:dyDescent="0.25">
      <c r="A12" s="25" t="s">
        <v>100</v>
      </c>
      <c r="B12" s="26" t="s">
        <v>91</v>
      </c>
      <c r="C12" s="25" t="s">
        <v>88</v>
      </c>
      <c r="D12" s="25">
        <v>2</v>
      </c>
      <c r="E12" s="25">
        <v>4</v>
      </c>
      <c r="F12" s="25">
        <v>3</v>
      </c>
      <c r="G12" s="25">
        <v>2</v>
      </c>
      <c r="H12" s="25">
        <v>2</v>
      </c>
      <c r="I12" s="25">
        <v>6</v>
      </c>
      <c r="J12" s="26" t="s">
        <v>101</v>
      </c>
      <c r="K12" s="26" t="s">
        <v>516</v>
      </c>
      <c r="L12" s="25" t="s">
        <v>519</v>
      </c>
      <c r="M12" s="27" t="str">
        <f t="shared" si="0"/>
        <v>Everyone else</v>
      </c>
      <c r="N12" s="27" t="str">
        <f t="shared" si="1"/>
        <v>Flexibility Negative</v>
      </c>
      <c r="O12" s="27" t="str">
        <f t="shared" si="2"/>
        <v>Everyone else</v>
      </c>
      <c r="P12" s="27" t="str">
        <f t="shared" si="3"/>
        <v>Everyone else</v>
      </c>
      <c r="Q12" s="27" t="str">
        <f t="shared" si="4"/>
        <v>Everyone else</v>
      </c>
      <c r="R12" s="27" t="str">
        <f t="shared" si="5"/>
        <v>Everyone else</v>
      </c>
    </row>
    <row r="13" spans="1:18" ht="23.25" customHeight="1" x14ac:dyDescent="0.25">
      <c r="A13" s="25" t="s">
        <v>102</v>
      </c>
      <c r="B13" s="26" t="s">
        <v>91</v>
      </c>
      <c r="C13" s="25" t="s">
        <v>88</v>
      </c>
      <c r="D13" s="25">
        <v>2</v>
      </c>
      <c r="E13" s="25">
        <v>3</v>
      </c>
      <c r="F13" s="25">
        <v>2</v>
      </c>
      <c r="G13" s="25">
        <v>2</v>
      </c>
      <c r="H13" s="25">
        <v>4</v>
      </c>
      <c r="I13" s="25">
        <v>5</v>
      </c>
      <c r="J13" s="26" t="s">
        <v>92</v>
      </c>
      <c r="K13" s="26" t="s">
        <v>520</v>
      </c>
      <c r="L13" s="25" t="s">
        <v>519</v>
      </c>
      <c r="M13" s="27" t="str">
        <f t="shared" si="0"/>
        <v>Everyone else</v>
      </c>
      <c r="N13" s="27" t="str">
        <f t="shared" si="1"/>
        <v>Everyone else</v>
      </c>
      <c r="O13" s="27" t="str">
        <f t="shared" si="2"/>
        <v>Everyone else</v>
      </c>
      <c r="P13" s="27" t="str">
        <f t="shared" si="3"/>
        <v>Everyone else</v>
      </c>
      <c r="Q13" s="27" t="str">
        <f t="shared" si="4"/>
        <v>Everyone else</v>
      </c>
      <c r="R13" s="27" t="str">
        <f t="shared" si="5"/>
        <v>Career growth Negative</v>
      </c>
    </row>
    <row r="14" spans="1:18" ht="34.5" customHeight="1" x14ac:dyDescent="0.25">
      <c r="A14" s="25" t="s">
        <v>103</v>
      </c>
      <c r="B14" s="26" t="s">
        <v>82</v>
      </c>
      <c r="C14" s="25" t="s">
        <v>94</v>
      </c>
      <c r="D14" s="25">
        <v>3</v>
      </c>
      <c r="E14" s="25">
        <v>2</v>
      </c>
      <c r="F14" s="25">
        <v>4</v>
      </c>
      <c r="G14" s="25">
        <v>2</v>
      </c>
      <c r="H14" s="25">
        <v>5</v>
      </c>
      <c r="I14" s="25">
        <v>4</v>
      </c>
      <c r="J14" s="26" t="s">
        <v>104</v>
      </c>
      <c r="K14" s="26" t="s">
        <v>523</v>
      </c>
      <c r="L14" s="25" t="s">
        <v>519</v>
      </c>
      <c r="M14" s="27" t="str">
        <f t="shared" si="0"/>
        <v>Everyone else</v>
      </c>
      <c r="N14" s="27" t="str">
        <f t="shared" si="1"/>
        <v>Everyone else</v>
      </c>
      <c r="O14" s="27" t="str">
        <f t="shared" si="2"/>
        <v>Everyone else</v>
      </c>
      <c r="P14" s="27" t="str">
        <f t="shared" si="3"/>
        <v>Everyone else</v>
      </c>
      <c r="Q14" s="27" t="str">
        <f t="shared" si="4"/>
        <v>Pay and benefits Negative</v>
      </c>
      <c r="R14" s="27" t="str">
        <f t="shared" si="5"/>
        <v>Career growth Negative</v>
      </c>
    </row>
    <row r="15" spans="1:18" ht="23.25" customHeight="1" x14ac:dyDescent="0.25">
      <c r="A15" s="25" t="s">
        <v>105</v>
      </c>
      <c r="B15" s="26" t="s">
        <v>77</v>
      </c>
      <c r="C15" s="25" t="s">
        <v>88</v>
      </c>
      <c r="D15" s="25">
        <v>5</v>
      </c>
      <c r="E15" s="25">
        <v>3</v>
      </c>
      <c r="F15" s="25">
        <v>4</v>
      </c>
      <c r="G15" s="25">
        <v>4</v>
      </c>
      <c r="H15" s="25">
        <v>5</v>
      </c>
      <c r="I15" s="25">
        <v>7</v>
      </c>
      <c r="J15" s="26" t="s">
        <v>106</v>
      </c>
      <c r="K15" s="26" t="s">
        <v>523</v>
      </c>
      <c r="L15" s="25" t="s">
        <v>515</v>
      </c>
      <c r="M15" s="27" t="str">
        <f t="shared" si="0"/>
        <v>Everyone else</v>
      </c>
      <c r="N15" s="27" t="str">
        <f t="shared" si="1"/>
        <v>Everyone else</v>
      </c>
      <c r="O15" s="27" t="str">
        <f t="shared" si="2"/>
        <v>Everyone else</v>
      </c>
      <c r="P15" s="27" t="str">
        <f t="shared" si="3"/>
        <v>Everyone else</v>
      </c>
      <c r="Q15" s="27" t="str">
        <f t="shared" si="4"/>
        <v>Everyone else</v>
      </c>
      <c r="R15" s="27" t="str">
        <f t="shared" si="5"/>
        <v>Everyone else</v>
      </c>
    </row>
    <row r="16" spans="1:18" ht="34.5" customHeight="1" x14ac:dyDescent="0.25">
      <c r="A16" s="25" t="s">
        <v>107</v>
      </c>
      <c r="B16" s="26" t="s">
        <v>108</v>
      </c>
      <c r="C16" s="25" t="s">
        <v>74</v>
      </c>
      <c r="D16" s="25">
        <v>3</v>
      </c>
      <c r="E16" s="25">
        <v>4</v>
      </c>
      <c r="F16" s="25">
        <v>5</v>
      </c>
      <c r="G16" s="25">
        <v>3</v>
      </c>
      <c r="H16" s="25">
        <v>2</v>
      </c>
      <c r="I16" s="25">
        <v>3</v>
      </c>
      <c r="J16" s="26" t="s">
        <v>109</v>
      </c>
      <c r="K16" s="26" t="s">
        <v>524</v>
      </c>
      <c r="L16" s="25" t="s">
        <v>519</v>
      </c>
      <c r="M16" s="27" t="str">
        <f t="shared" si="0"/>
        <v>Everyone else</v>
      </c>
      <c r="N16" s="27" t="str">
        <f t="shared" si="1"/>
        <v>Everyone else</v>
      </c>
      <c r="O16" s="27" t="str">
        <f t="shared" si="2"/>
        <v>Workload Negative</v>
      </c>
      <c r="P16" s="27" t="str">
        <f t="shared" si="3"/>
        <v>Tools and systems Negative</v>
      </c>
      <c r="Q16" s="27" t="str">
        <f t="shared" si="4"/>
        <v>Everyone else</v>
      </c>
      <c r="R16" s="27" t="str">
        <f t="shared" si="5"/>
        <v>Everyone else</v>
      </c>
    </row>
    <row r="17" spans="1:18" ht="34.5" customHeight="1" x14ac:dyDescent="0.25">
      <c r="A17" s="25" t="s">
        <v>110</v>
      </c>
      <c r="B17" s="26" t="s">
        <v>91</v>
      </c>
      <c r="C17" s="25" t="s">
        <v>74</v>
      </c>
      <c r="D17" s="25">
        <v>3</v>
      </c>
      <c r="E17" s="25">
        <v>2</v>
      </c>
      <c r="F17" s="25">
        <v>3</v>
      </c>
      <c r="G17" s="25">
        <v>4</v>
      </c>
      <c r="H17" s="25">
        <v>2</v>
      </c>
      <c r="I17" s="25">
        <v>7</v>
      </c>
      <c r="J17" s="26" t="s">
        <v>111</v>
      </c>
      <c r="K17" s="26" t="s">
        <v>525</v>
      </c>
      <c r="L17" s="25" t="s">
        <v>519</v>
      </c>
      <c r="M17" s="27" t="str">
        <f t="shared" si="0"/>
        <v>Everyone else</v>
      </c>
      <c r="N17" s="27" t="str">
        <f t="shared" si="1"/>
        <v>Everyone else</v>
      </c>
      <c r="O17" s="27" t="str">
        <f t="shared" si="2"/>
        <v>Everyone else</v>
      </c>
      <c r="P17" s="27" t="str">
        <f t="shared" si="3"/>
        <v>Everyone else</v>
      </c>
      <c r="Q17" s="27" t="str">
        <f t="shared" si="4"/>
        <v>Pay and benefits Negative</v>
      </c>
      <c r="R17" s="27" t="str">
        <f t="shared" si="5"/>
        <v>Everyone else</v>
      </c>
    </row>
    <row r="18" spans="1:18" ht="23.25" customHeight="1" x14ac:dyDescent="0.25">
      <c r="A18" s="25" t="s">
        <v>112</v>
      </c>
      <c r="B18" s="26" t="s">
        <v>82</v>
      </c>
      <c r="C18" s="25" t="s">
        <v>94</v>
      </c>
      <c r="D18" s="25">
        <v>4</v>
      </c>
      <c r="E18" s="25">
        <v>2</v>
      </c>
      <c r="F18" s="25">
        <v>3</v>
      </c>
      <c r="G18" s="25">
        <v>2</v>
      </c>
      <c r="H18" s="25">
        <v>3</v>
      </c>
      <c r="I18" s="25">
        <v>7</v>
      </c>
      <c r="J18" s="26" t="s">
        <v>101</v>
      </c>
      <c r="K18" s="26" t="s">
        <v>516</v>
      </c>
      <c r="L18" s="25" t="s">
        <v>519</v>
      </c>
      <c r="M18" s="27" t="str">
        <f t="shared" si="0"/>
        <v>Everyone else</v>
      </c>
      <c r="N18" s="27" t="str">
        <f t="shared" si="1"/>
        <v>Flexibility Negative</v>
      </c>
      <c r="O18" s="27" t="str">
        <f t="shared" si="2"/>
        <v>Everyone else</v>
      </c>
      <c r="P18" s="27" t="str">
        <f t="shared" si="3"/>
        <v>Everyone else</v>
      </c>
      <c r="Q18" s="27" t="str">
        <f t="shared" si="4"/>
        <v>Everyone else</v>
      </c>
      <c r="R18" s="27" t="str">
        <f t="shared" si="5"/>
        <v>Everyone else</v>
      </c>
    </row>
    <row r="19" spans="1:18" ht="23.25" customHeight="1" x14ac:dyDescent="0.25">
      <c r="A19" s="25" t="s">
        <v>113</v>
      </c>
      <c r="B19" s="26" t="s">
        <v>82</v>
      </c>
      <c r="C19" s="25" t="s">
        <v>94</v>
      </c>
      <c r="D19" s="25">
        <v>2</v>
      </c>
      <c r="E19" s="25">
        <v>3</v>
      </c>
      <c r="F19" s="25">
        <v>3</v>
      </c>
      <c r="G19" s="25">
        <v>2</v>
      </c>
      <c r="H19" s="25">
        <v>4</v>
      </c>
      <c r="I19" s="25">
        <v>5</v>
      </c>
      <c r="J19" s="26" t="s">
        <v>114</v>
      </c>
      <c r="K19" s="26" t="s">
        <v>526</v>
      </c>
      <c r="L19" s="25" t="s">
        <v>519</v>
      </c>
      <c r="M19" s="27" t="str">
        <f t="shared" si="0"/>
        <v>Everyone else</v>
      </c>
      <c r="N19" s="27" t="str">
        <f t="shared" si="1"/>
        <v>Flexibility Negative</v>
      </c>
      <c r="O19" s="27" t="str">
        <f t="shared" si="2"/>
        <v>Workload Negative</v>
      </c>
      <c r="P19" s="27" t="str">
        <f t="shared" si="3"/>
        <v>Everyone else</v>
      </c>
      <c r="Q19" s="27" t="str">
        <f t="shared" si="4"/>
        <v>Everyone else</v>
      </c>
      <c r="R19" s="27" t="str">
        <f t="shared" si="5"/>
        <v>Everyone else</v>
      </c>
    </row>
    <row r="20" spans="1:18" ht="34.5" customHeight="1" x14ac:dyDescent="0.25">
      <c r="A20" s="25" t="s">
        <v>115</v>
      </c>
      <c r="B20" s="26" t="s">
        <v>77</v>
      </c>
      <c r="C20" s="25" t="s">
        <v>88</v>
      </c>
      <c r="D20" s="25">
        <v>4</v>
      </c>
      <c r="E20" s="25">
        <v>3</v>
      </c>
      <c r="F20" s="25">
        <v>3</v>
      </c>
      <c r="G20" s="25">
        <v>1</v>
      </c>
      <c r="H20" s="25">
        <v>2</v>
      </c>
      <c r="I20" s="25">
        <v>4</v>
      </c>
      <c r="J20" s="26" t="s">
        <v>116</v>
      </c>
      <c r="K20" s="26" t="s">
        <v>527</v>
      </c>
      <c r="L20" s="25" t="s">
        <v>519</v>
      </c>
      <c r="M20" s="27" t="str">
        <f t="shared" si="0"/>
        <v>Manager support Negative</v>
      </c>
      <c r="N20" s="27" t="str">
        <f t="shared" si="1"/>
        <v>Everyone else</v>
      </c>
      <c r="O20" s="27" t="str">
        <f t="shared" si="2"/>
        <v>Everyone else</v>
      </c>
      <c r="P20" s="27" t="str">
        <f t="shared" si="3"/>
        <v>Everyone else</v>
      </c>
      <c r="Q20" s="27" t="str">
        <f t="shared" si="4"/>
        <v>Pay and benefits Negative</v>
      </c>
      <c r="R20" s="27" t="str">
        <f t="shared" si="5"/>
        <v>Everyone else</v>
      </c>
    </row>
    <row r="21" spans="1:18" ht="34.5" customHeight="1" x14ac:dyDescent="0.25">
      <c r="A21" s="25" t="s">
        <v>117</v>
      </c>
      <c r="B21" s="26" t="s">
        <v>118</v>
      </c>
      <c r="C21" s="25" t="s">
        <v>85</v>
      </c>
      <c r="D21" s="25">
        <v>1</v>
      </c>
      <c r="E21" s="25">
        <v>3</v>
      </c>
      <c r="F21" s="25">
        <v>2</v>
      </c>
      <c r="G21" s="25">
        <v>3</v>
      </c>
      <c r="H21" s="25">
        <v>2</v>
      </c>
      <c r="I21" s="25">
        <v>5</v>
      </c>
      <c r="J21" s="26" t="s">
        <v>119</v>
      </c>
      <c r="K21" s="26" t="s">
        <v>528</v>
      </c>
      <c r="L21" s="25" t="s">
        <v>519</v>
      </c>
      <c r="M21" s="27" t="str">
        <f t="shared" si="0"/>
        <v>Everyone else</v>
      </c>
      <c r="N21" s="27" t="str">
        <f t="shared" si="1"/>
        <v>Everyone else</v>
      </c>
      <c r="O21" s="27" t="str">
        <f t="shared" si="2"/>
        <v>Everyone else</v>
      </c>
      <c r="P21" s="27" t="str">
        <f t="shared" si="3"/>
        <v>Tools and systems Negative</v>
      </c>
      <c r="Q21" s="27" t="str">
        <f t="shared" si="4"/>
        <v>Everyone else</v>
      </c>
      <c r="R21" s="27" t="str">
        <f t="shared" si="5"/>
        <v>Everyone else</v>
      </c>
    </row>
    <row r="22" spans="1:18" ht="15" customHeight="1" x14ac:dyDescent="0.25">
      <c r="A22" s="25" t="s">
        <v>120</v>
      </c>
      <c r="B22" s="26" t="s">
        <v>91</v>
      </c>
      <c r="C22" s="25" t="s">
        <v>85</v>
      </c>
      <c r="D22" s="25">
        <v>2</v>
      </c>
      <c r="E22" s="25">
        <v>3</v>
      </c>
      <c r="F22" s="25">
        <v>5</v>
      </c>
      <c r="G22" s="25">
        <v>4</v>
      </c>
      <c r="H22" s="25">
        <v>5</v>
      </c>
      <c r="I22" s="25">
        <v>9</v>
      </c>
      <c r="J22" s="26" t="s">
        <v>121</v>
      </c>
      <c r="K22" s="26" t="s">
        <v>525</v>
      </c>
      <c r="L22" s="25" t="s">
        <v>515</v>
      </c>
      <c r="M22" s="27" t="str">
        <f t="shared" si="0"/>
        <v>Everyone else</v>
      </c>
      <c r="N22" s="27" t="str">
        <f t="shared" si="1"/>
        <v>Everyone else</v>
      </c>
      <c r="O22" s="27" t="str">
        <f t="shared" si="2"/>
        <v>Everyone else</v>
      </c>
      <c r="P22" s="27" t="str">
        <f t="shared" si="3"/>
        <v>Everyone else</v>
      </c>
      <c r="Q22" s="27" t="str">
        <f t="shared" si="4"/>
        <v>Everyone else</v>
      </c>
      <c r="R22" s="27" t="str">
        <f t="shared" si="5"/>
        <v>Everyone else</v>
      </c>
    </row>
    <row r="23" spans="1:18" ht="23.25" customHeight="1" x14ac:dyDescent="0.25">
      <c r="A23" s="25" t="s">
        <v>122</v>
      </c>
      <c r="B23" s="26" t="s">
        <v>91</v>
      </c>
      <c r="C23" s="25" t="s">
        <v>88</v>
      </c>
      <c r="D23" s="25">
        <v>2</v>
      </c>
      <c r="E23" s="25">
        <v>4</v>
      </c>
      <c r="F23" s="25">
        <v>4</v>
      </c>
      <c r="G23" s="25">
        <v>5</v>
      </c>
      <c r="H23" s="25">
        <v>2</v>
      </c>
      <c r="I23" s="25">
        <v>8</v>
      </c>
      <c r="J23" s="26" t="s">
        <v>123</v>
      </c>
      <c r="K23" s="26" t="s">
        <v>524</v>
      </c>
      <c r="L23" s="25" t="s">
        <v>515</v>
      </c>
      <c r="M23" s="27" t="str">
        <f t="shared" si="0"/>
        <v>Everyone else</v>
      </c>
      <c r="N23" s="27" t="str">
        <f t="shared" si="1"/>
        <v>Everyone else</v>
      </c>
      <c r="O23" s="27" t="str">
        <f t="shared" si="2"/>
        <v>Everyone else</v>
      </c>
      <c r="P23" s="27" t="str">
        <f t="shared" si="3"/>
        <v>Everyone else</v>
      </c>
      <c r="Q23" s="27" t="str">
        <f t="shared" si="4"/>
        <v>Everyone else</v>
      </c>
      <c r="R23" s="27" t="str">
        <f t="shared" si="5"/>
        <v>Everyone else</v>
      </c>
    </row>
    <row r="24" spans="1:18" ht="15" customHeight="1" x14ac:dyDescent="0.25">
      <c r="A24" s="25" t="s">
        <v>124</v>
      </c>
      <c r="B24" s="26" t="s">
        <v>91</v>
      </c>
      <c r="C24" s="25" t="s">
        <v>74</v>
      </c>
      <c r="D24" s="25">
        <v>4</v>
      </c>
      <c r="E24" s="25">
        <v>2</v>
      </c>
      <c r="F24" s="25">
        <v>5</v>
      </c>
      <c r="G24" s="25">
        <v>4</v>
      </c>
      <c r="H24" s="25">
        <v>3</v>
      </c>
      <c r="I24" s="25">
        <v>7</v>
      </c>
      <c r="J24" s="26" t="s">
        <v>125</v>
      </c>
      <c r="K24" s="26" t="s">
        <v>528</v>
      </c>
      <c r="L24" s="25" t="s">
        <v>515</v>
      </c>
      <c r="M24" s="27" t="str">
        <f t="shared" si="0"/>
        <v>Everyone else</v>
      </c>
      <c r="N24" s="27" t="str">
        <f t="shared" si="1"/>
        <v>Everyone else</v>
      </c>
      <c r="O24" s="27" t="str">
        <f t="shared" si="2"/>
        <v>Everyone else</v>
      </c>
      <c r="P24" s="27" t="str">
        <f t="shared" si="3"/>
        <v>Everyone else</v>
      </c>
      <c r="Q24" s="27" t="str">
        <f t="shared" si="4"/>
        <v>Everyone else</v>
      </c>
      <c r="R24" s="27" t="str">
        <f t="shared" si="5"/>
        <v>Everyone else</v>
      </c>
    </row>
    <row r="25" spans="1:18" ht="23.25" customHeight="1" x14ac:dyDescent="0.25">
      <c r="A25" s="25" t="s">
        <v>126</v>
      </c>
      <c r="B25" s="26" t="s">
        <v>91</v>
      </c>
      <c r="C25" s="25" t="s">
        <v>88</v>
      </c>
      <c r="D25" s="25">
        <v>4</v>
      </c>
      <c r="E25" s="25">
        <v>4</v>
      </c>
      <c r="F25" s="25">
        <v>3</v>
      </c>
      <c r="G25" s="25">
        <v>3</v>
      </c>
      <c r="H25" s="25">
        <v>5</v>
      </c>
      <c r="I25" s="25">
        <v>8</v>
      </c>
      <c r="J25" s="26" t="s">
        <v>127</v>
      </c>
      <c r="K25" s="26" t="s">
        <v>529</v>
      </c>
      <c r="L25" s="25" t="s">
        <v>515</v>
      </c>
      <c r="M25" s="27" t="str">
        <f t="shared" si="0"/>
        <v>Everyone else</v>
      </c>
      <c r="N25" s="27" t="str">
        <f t="shared" si="1"/>
        <v>Everyone else</v>
      </c>
      <c r="O25" s="27" t="str">
        <f t="shared" si="2"/>
        <v>Everyone else</v>
      </c>
      <c r="P25" s="27" t="str">
        <f t="shared" si="3"/>
        <v>Everyone else</v>
      </c>
      <c r="Q25" s="27" t="str">
        <f t="shared" si="4"/>
        <v>Everyone else</v>
      </c>
      <c r="R25" s="27" t="str">
        <f t="shared" si="5"/>
        <v>Everyone else</v>
      </c>
    </row>
    <row r="26" spans="1:18" ht="34.5" customHeight="1" x14ac:dyDescent="0.25">
      <c r="A26" s="25" t="s">
        <v>128</v>
      </c>
      <c r="B26" s="26" t="s">
        <v>118</v>
      </c>
      <c r="C26" s="25" t="s">
        <v>88</v>
      </c>
      <c r="D26" s="25">
        <v>3</v>
      </c>
      <c r="E26" s="25">
        <v>2</v>
      </c>
      <c r="F26" s="25">
        <v>4</v>
      </c>
      <c r="G26" s="25">
        <v>4</v>
      </c>
      <c r="H26" s="25">
        <v>3</v>
      </c>
      <c r="I26" s="25">
        <v>8</v>
      </c>
      <c r="J26" s="26" t="s">
        <v>129</v>
      </c>
      <c r="K26" s="26" t="s">
        <v>530</v>
      </c>
      <c r="L26" s="25" t="s">
        <v>519</v>
      </c>
      <c r="M26" s="27" t="str">
        <f t="shared" si="0"/>
        <v>Manager support Negative</v>
      </c>
      <c r="N26" s="27" t="str">
        <f t="shared" si="1"/>
        <v>Everyone else</v>
      </c>
      <c r="O26" s="27" t="str">
        <f t="shared" si="2"/>
        <v>Everyone else</v>
      </c>
      <c r="P26" s="27" t="str">
        <f t="shared" si="3"/>
        <v>Tools and systems Negative</v>
      </c>
      <c r="Q26" s="27" t="str">
        <f t="shared" si="4"/>
        <v>Everyone else</v>
      </c>
      <c r="R26" s="27" t="str">
        <f t="shared" si="5"/>
        <v>Everyone else</v>
      </c>
    </row>
    <row r="27" spans="1:18" ht="23.25" customHeight="1" x14ac:dyDescent="0.25">
      <c r="A27" s="25" t="s">
        <v>130</v>
      </c>
      <c r="B27" s="26" t="s">
        <v>82</v>
      </c>
      <c r="C27" s="25" t="s">
        <v>74</v>
      </c>
      <c r="D27" s="25">
        <v>4</v>
      </c>
      <c r="E27" s="25">
        <v>4</v>
      </c>
      <c r="F27" s="25">
        <v>4</v>
      </c>
      <c r="G27" s="25">
        <v>5</v>
      </c>
      <c r="H27" s="25">
        <v>3</v>
      </c>
      <c r="I27" s="25">
        <v>6</v>
      </c>
      <c r="J27" s="26" t="s">
        <v>131</v>
      </c>
      <c r="K27" s="26" t="s">
        <v>531</v>
      </c>
      <c r="L27" s="25" t="s">
        <v>515</v>
      </c>
      <c r="M27" s="27" t="str">
        <f t="shared" si="0"/>
        <v>Everyone else</v>
      </c>
      <c r="N27" s="27" t="str">
        <f t="shared" si="1"/>
        <v>Everyone else</v>
      </c>
      <c r="O27" s="27" t="str">
        <f t="shared" si="2"/>
        <v>Everyone else</v>
      </c>
      <c r="P27" s="27" t="str">
        <f t="shared" si="3"/>
        <v>Everyone else</v>
      </c>
      <c r="Q27" s="27" t="str">
        <f t="shared" si="4"/>
        <v>Everyone else</v>
      </c>
      <c r="R27" s="27" t="str">
        <f t="shared" si="5"/>
        <v>Everyone else</v>
      </c>
    </row>
    <row r="28" spans="1:18" ht="23.25" customHeight="1" x14ac:dyDescent="0.25">
      <c r="A28" s="25" t="s">
        <v>132</v>
      </c>
      <c r="B28" s="26" t="s">
        <v>77</v>
      </c>
      <c r="C28" s="25" t="s">
        <v>94</v>
      </c>
      <c r="D28" s="25">
        <v>5</v>
      </c>
      <c r="E28" s="25">
        <v>4</v>
      </c>
      <c r="F28" s="25">
        <v>4</v>
      </c>
      <c r="G28" s="25">
        <v>4</v>
      </c>
      <c r="H28" s="25">
        <v>3</v>
      </c>
      <c r="I28" s="25">
        <v>8</v>
      </c>
      <c r="J28" s="26" t="s">
        <v>78</v>
      </c>
      <c r="K28" s="26" t="s">
        <v>516</v>
      </c>
      <c r="L28" s="25" t="s">
        <v>515</v>
      </c>
      <c r="M28" s="27" t="str">
        <f t="shared" si="0"/>
        <v>Everyone else</v>
      </c>
      <c r="N28" s="27" t="str">
        <f t="shared" si="1"/>
        <v>Everyone else</v>
      </c>
      <c r="O28" s="27" t="str">
        <f t="shared" si="2"/>
        <v>Everyone else</v>
      </c>
      <c r="P28" s="27" t="str">
        <f t="shared" si="3"/>
        <v>Everyone else</v>
      </c>
      <c r="Q28" s="27" t="str">
        <f t="shared" si="4"/>
        <v>Everyone else</v>
      </c>
      <c r="R28" s="27" t="str">
        <f t="shared" si="5"/>
        <v>Everyone else</v>
      </c>
    </row>
    <row r="29" spans="1:18" ht="23.25" customHeight="1" x14ac:dyDescent="0.25">
      <c r="A29" s="25" t="s">
        <v>133</v>
      </c>
      <c r="B29" s="26" t="s">
        <v>77</v>
      </c>
      <c r="C29" s="25" t="s">
        <v>85</v>
      </c>
      <c r="D29" s="25">
        <v>4</v>
      </c>
      <c r="E29" s="25">
        <v>4</v>
      </c>
      <c r="F29" s="25">
        <v>4</v>
      </c>
      <c r="G29" s="25">
        <v>4</v>
      </c>
      <c r="H29" s="25">
        <v>4</v>
      </c>
      <c r="I29" s="25">
        <v>6</v>
      </c>
      <c r="J29" s="26" t="s">
        <v>134</v>
      </c>
      <c r="K29" s="26" t="s">
        <v>517</v>
      </c>
      <c r="L29" s="25" t="s">
        <v>515</v>
      </c>
      <c r="M29" s="27" t="str">
        <f t="shared" si="0"/>
        <v>Everyone else</v>
      </c>
      <c r="N29" s="27" t="str">
        <f t="shared" si="1"/>
        <v>Everyone else</v>
      </c>
      <c r="O29" s="27" t="str">
        <f t="shared" si="2"/>
        <v>Everyone else</v>
      </c>
      <c r="P29" s="27" t="str">
        <f t="shared" si="3"/>
        <v>Everyone else</v>
      </c>
      <c r="Q29" s="27" t="str">
        <f t="shared" si="4"/>
        <v>Everyone else</v>
      </c>
      <c r="R29" s="27" t="str">
        <f t="shared" si="5"/>
        <v>Everyone else</v>
      </c>
    </row>
    <row r="30" spans="1:18" ht="23.25" customHeight="1" x14ac:dyDescent="0.25">
      <c r="A30" s="25" t="s">
        <v>135</v>
      </c>
      <c r="B30" s="26" t="s">
        <v>118</v>
      </c>
      <c r="C30" s="25" t="s">
        <v>94</v>
      </c>
      <c r="D30" s="25">
        <v>4</v>
      </c>
      <c r="E30" s="25">
        <v>4</v>
      </c>
      <c r="F30" s="25">
        <v>4</v>
      </c>
      <c r="G30" s="25">
        <v>4</v>
      </c>
      <c r="H30" s="25">
        <v>5</v>
      </c>
      <c r="I30" s="25">
        <v>7</v>
      </c>
      <c r="J30" s="26" t="s">
        <v>136</v>
      </c>
      <c r="K30" s="26" t="s">
        <v>532</v>
      </c>
      <c r="L30" s="25" t="s">
        <v>515</v>
      </c>
      <c r="M30" s="27" t="str">
        <f t="shared" si="0"/>
        <v>Everyone else</v>
      </c>
      <c r="N30" s="27" t="str">
        <f t="shared" si="1"/>
        <v>Everyone else</v>
      </c>
      <c r="O30" s="27" t="str">
        <f t="shared" si="2"/>
        <v>Everyone else</v>
      </c>
      <c r="P30" s="27" t="str">
        <f t="shared" si="3"/>
        <v>Everyone else</v>
      </c>
      <c r="Q30" s="27" t="str">
        <f t="shared" si="4"/>
        <v>Everyone else</v>
      </c>
      <c r="R30" s="27" t="str">
        <f t="shared" si="5"/>
        <v>Everyone else</v>
      </c>
    </row>
    <row r="31" spans="1:18" ht="23.25" customHeight="1" x14ac:dyDescent="0.25">
      <c r="A31" s="25" t="s">
        <v>137</v>
      </c>
      <c r="B31" s="26" t="s">
        <v>73</v>
      </c>
      <c r="C31" s="25" t="s">
        <v>94</v>
      </c>
      <c r="D31" s="25">
        <v>3</v>
      </c>
      <c r="E31" s="25">
        <v>4</v>
      </c>
      <c r="F31" s="25">
        <v>3</v>
      </c>
      <c r="G31" s="25">
        <v>4</v>
      </c>
      <c r="H31" s="25">
        <v>4</v>
      </c>
      <c r="I31" s="25">
        <v>5</v>
      </c>
      <c r="J31" s="26" t="s">
        <v>138</v>
      </c>
      <c r="K31" s="26" t="s">
        <v>522</v>
      </c>
      <c r="L31" s="25" t="s">
        <v>515</v>
      </c>
      <c r="M31" s="27" t="str">
        <f t="shared" si="0"/>
        <v>Everyone else</v>
      </c>
      <c r="N31" s="27" t="str">
        <f t="shared" si="1"/>
        <v>Everyone else</v>
      </c>
      <c r="O31" s="27" t="str">
        <f t="shared" si="2"/>
        <v>Everyone else</v>
      </c>
      <c r="P31" s="27" t="str">
        <f t="shared" si="3"/>
        <v>Everyone else</v>
      </c>
      <c r="Q31" s="27" t="str">
        <f t="shared" si="4"/>
        <v>Everyone else</v>
      </c>
      <c r="R31" s="27" t="str">
        <f t="shared" si="5"/>
        <v>Everyone else</v>
      </c>
    </row>
    <row r="32" spans="1:18" ht="15" customHeight="1" x14ac:dyDescent="0.25">
      <c r="A32" s="25" t="s">
        <v>139</v>
      </c>
      <c r="B32" s="26" t="s">
        <v>82</v>
      </c>
      <c r="C32" s="25" t="s">
        <v>94</v>
      </c>
      <c r="D32" s="25">
        <v>4</v>
      </c>
      <c r="E32" s="25">
        <v>4</v>
      </c>
      <c r="F32" s="25">
        <v>4</v>
      </c>
      <c r="G32" s="25">
        <v>4</v>
      </c>
      <c r="H32" s="25">
        <v>4</v>
      </c>
      <c r="I32" s="25">
        <v>5</v>
      </c>
      <c r="J32" s="26" t="s">
        <v>121</v>
      </c>
      <c r="K32" s="26" t="s">
        <v>525</v>
      </c>
      <c r="L32" s="25" t="s">
        <v>515</v>
      </c>
      <c r="M32" s="27" t="str">
        <f t="shared" si="0"/>
        <v>Everyone else</v>
      </c>
      <c r="N32" s="27" t="str">
        <f t="shared" si="1"/>
        <v>Everyone else</v>
      </c>
      <c r="O32" s="27" t="str">
        <f t="shared" si="2"/>
        <v>Everyone else</v>
      </c>
      <c r="P32" s="27" t="str">
        <f t="shared" si="3"/>
        <v>Everyone else</v>
      </c>
      <c r="Q32" s="27" t="str">
        <f t="shared" si="4"/>
        <v>Everyone else</v>
      </c>
      <c r="R32" s="27" t="str">
        <f t="shared" si="5"/>
        <v>Everyone else</v>
      </c>
    </row>
    <row r="33" spans="1:18" ht="23.25" customHeight="1" x14ac:dyDescent="0.25">
      <c r="A33" s="25" t="s">
        <v>140</v>
      </c>
      <c r="B33" s="26" t="s">
        <v>82</v>
      </c>
      <c r="C33" s="25" t="s">
        <v>74</v>
      </c>
      <c r="D33" s="25">
        <v>3</v>
      </c>
      <c r="E33" s="25">
        <v>4</v>
      </c>
      <c r="F33" s="25">
        <v>2</v>
      </c>
      <c r="G33" s="25">
        <v>1</v>
      </c>
      <c r="H33" s="25">
        <v>3</v>
      </c>
      <c r="I33" s="25">
        <v>5</v>
      </c>
      <c r="J33" s="26" t="s">
        <v>141</v>
      </c>
      <c r="K33" s="26" t="s">
        <v>521</v>
      </c>
      <c r="L33" s="25" t="s">
        <v>519</v>
      </c>
      <c r="M33" s="27" t="str">
        <f t="shared" si="0"/>
        <v>Everyone else</v>
      </c>
      <c r="N33" s="27" t="str">
        <f t="shared" si="1"/>
        <v>Everyone else</v>
      </c>
      <c r="O33" s="27" t="str">
        <f t="shared" si="2"/>
        <v>Workload Negative</v>
      </c>
      <c r="P33" s="27" t="str">
        <f t="shared" si="3"/>
        <v>Everyone else</v>
      </c>
      <c r="Q33" s="27" t="str">
        <f t="shared" si="4"/>
        <v>Everyone else</v>
      </c>
      <c r="R33" s="27" t="str">
        <f t="shared" si="5"/>
        <v>Everyone else</v>
      </c>
    </row>
    <row r="34" spans="1:18" ht="34.5" customHeight="1" x14ac:dyDescent="0.25">
      <c r="A34" s="25" t="s">
        <v>142</v>
      </c>
      <c r="B34" s="26" t="s">
        <v>91</v>
      </c>
      <c r="C34" s="25" t="s">
        <v>85</v>
      </c>
      <c r="D34" s="25">
        <v>3</v>
      </c>
      <c r="E34" s="25">
        <v>2</v>
      </c>
      <c r="F34" s="25">
        <v>3</v>
      </c>
      <c r="G34" s="25">
        <v>3</v>
      </c>
      <c r="H34" s="25">
        <v>3</v>
      </c>
      <c r="I34" s="25">
        <v>5</v>
      </c>
      <c r="J34" s="26" t="s">
        <v>104</v>
      </c>
      <c r="K34" s="26" t="s">
        <v>523</v>
      </c>
      <c r="L34" s="25" t="s">
        <v>519</v>
      </c>
      <c r="M34" s="27" t="str">
        <f t="shared" si="0"/>
        <v>Everyone else</v>
      </c>
      <c r="N34" s="27" t="str">
        <f t="shared" si="1"/>
        <v>Everyone else</v>
      </c>
      <c r="O34" s="27" t="str">
        <f t="shared" si="2"/>
        <v>Everyone else</v>
      </c>
      <c r="P34" s="27" t="str">
        <f t="shared" si="3"/>
        <v>Everyone else</v>
      </c>
      <c r="Q34" s="27" t="str">
        <f t="shared" si="4"/>
        <v>Pay and benefits Negative</v>
      </c>
      <c r="R34" s="27" t="str">
        <f t="shared" si="5"/>
        <v>Career growth Negative</v>
      </c>
    </row>
    <row r="35" spans="1:18" ht="23.25" customHeight="1" x14ac:dyDescent="0.25">
      <c r="A35" s="25" t="s">
        <v>143</v>
      </c>
      <c r="B35" s="26" t="s">
        <v>108</v>
      </c>
      <c r="C35" s="25" t="s">
        <v>94</v>
      </c>
      <c r="D35" s="25">
        <v>4</v>
      </c>
      <c r="E35" s="25">
        <v>4</v>
      </c>
      <c r="F35" s="25">
        <v>4</v>
      </c>
      <c r="G35" s="25">
        <v>3</v>
      </c>
      <c r="H35" s="25">
        <v>4</v>
      </c>
      <c r="I35" s="25">
        <v>4</v>
      </c>
      <c r="J35" s="26" t="s">
        <v>144</v>
      </c>
      <c r="K35" s="26" t="s">
        <v>533</v>
      </c>
      <c r="L35" s="25" t="s">
        <v>515</v>
      </c>
      <c r="M35" s="27" t="str">
        <f t="shared" si="0"/>
        <v>Everyone else</v>
      </c>
      <c r="N35" s="27" t="str">
        <f t="shared" si="1"/>
        <v>Everyone else</v>
      </c>
      <c r="O35" s="27" t="str">
        <f t="shared" si="2"/>
        <v>Everyone else</v>
      </c>
      <c r="P35" s="27" t="str">
        <f t="shared" si="3"/>
        <v>Everyone else</v>
      </c>
      <c r="Q35" s="27" t="str">
        <f t="shared" si="4"/>
        <v>Everyone else</v>
      </c>
      <c r="R35" s="27" t="str">
        <f t="shared" si="5"/>
        <v>Everyone else</v>
      </c>
    </row>
    <row r="36" spans="1:18" ht="23.25" customHeight="1" x14ac:dyDescent="0.25">
      <c r="A36" s="25" t="s">
        <v>145</v>
      </c>
      <c r="B36" s="26" t="s">
        <v>77</v>
      </c>
      <c r="C36" s="25" t="s">
        <v>88</v>
      </c>
      <c r="D36" s="25">
        <v>4</v>
      </c>
      <c r="E36" s="25">
        <v>5</v>
      </c>
      <c r="F36" s="25">
        <v>5</v>
      </c>
      <c r="G36" s="25">
        <v>5</v>
      </c>
      <c r="H36" s="25">
        <v>4</v>
      </c>
      <c r="I36" s="25">
        <v>6</v>
      </c>
      <c r="J36" s="26" t="s">
        <v>146</v>
      </c>
      <c r="K36" s="26" t="s">
        <v>534</v>
      </c>
      <c r="L36" s="25" t="s">
        <v>515</v>
      </c>
      <c r="M36" s="27" t="str">
        <f t="shared" si="0"/>
        <v>Everyone else</v>
      </c>
      <c r="N36" s="27" t="str">
        <f t="shared" si="1"/>
        <v>Everyone else</v>
      </c>
      <c r="O36" s="27" t="str">
        <f t="shared" si="2"/>
        <v>Everyone else</v>
      </c>
      <c r="P36" s="27" t="str">
        <f t="shared" si="3"/>
        <v>Everyone else</v>
      </c>
      <c r="Q36" s="27" t="str">
        <f t="shared" si="4"/>
        <v>Everyone else</v>
      </c>
      <c r="R36" s="27" t="str">
        <f t="shared" si="5"/>
        <v>Everyone else</v>
      </c>
    </row>
    <row r="37" spans="1:18" ht="23.25" customHeight="1" x14ac:dyDescent="0.25">
      <c r="A37" s="25" t="s">
        <v>147</v>
      </c>
      <c r="B37" s="26" t="s">
        <v>108</v>
      </c>
      <c r="C37" s="25" t="s">
        <v>85</v>
      </c>
      <c r="D37" s="25">
        <v>4</v>
      </c>
      <c r="E37" s="25">
        <v>5</v>
      </c>
      <c r="F37" s="25">
        <v>1</v>
      </c>
      <c r="G37" s="25">
        <v>4</v>
      </c>
      <c r="H37" s="25">
        <v>4</v>
      </c>
      <c r="I37" s="25">
        <v>8</v>
      </c>
      <c r="J37" s="26" t="s">
        <v>148</v>
      </c>
      <c r="K37" s="26" t="s">
        <v>535</v>
      </c>
      <c r="L37" s="25" t="s">
        <v>515</v>
      </c>
      <c r="M37" s="27" t="str">
        <f t="shared" si="0"/>
        <v>Everyone else</v>
      </c>
      <c r="N37" s="27" t="str">
        <f t="shared" si="1"/>
        <v>Everyone else</v>
      </c>
      <c r="O37" s="27" t="str">
        <f t="shared" si="2"/>
        <v>Everyone else</v>
      </c>
      <c r="P37" s="27" t="str">
        <f t="shared" si="3"/>
        <v>Everyone else</v>
      </c>
      <c r="Q37" s="27" t="str">
        <f t="shared" si="4"/>
        <v>Everyone else</v>
      </c>
      <c r="R37" s="27" t="str">
        <f t="shared" si="5"/>
        <v>Everyone else</v>
      </c>
    </row>
    <row r="38" spans="1:18" ht="23.25" customHeight="1" x14ac:dyDescent="0.25">
      <c r="A38" s="25" t="s">
        <v>149</v>
      </c>
      <c r="B38" s="26" t="s">
        <v>82</v>
      </c>
      <c r="C38" s="25" t="s">
        <v>85</v>
      </c>
      <c r="D38" s="25">
        <v>3</v>
      </c>
      <c r="E38" s="25">
        <v>3</v>
      </c>
      <c r="F38" s="25">
        <v>2</v>
      </c>
      <c r="G38" s="25">
        <v>2</v>
      </c>
      <c r="H38" s="25">
        <v>3</v>
      </c>
      <c r="I38" s="25">
        <v>7</v>
      </c>
      <c r="J38" s="26" t="s">
        <v>150</v>
      </c>
      <c r="K38" s="26" t="s">
        <v>536</v>
      </c>
      <c r="L38" s="25" t="s">
        <v>519</v>
      </c>
      <c r="M38" s="27" t="str">
        <f t="shared" si="0"/>
        <v>Everyone else</v>
      </c>
      <c r="N38" s="27" t="str">
        <f t="shared" si="1"/>
        <v>Flexibility Negative</v>
      </c>
      <c r="O38" s="27" t="str">
        <f t="shared" si="2"/>
        <v>Everyone else</v>
      </c>
      <c r="P38" s="27" t="str">
        <f t="shared" si="3"/>
        <v>Everyone else</v>
      </c>
      <c r="Q38" s="27" t="str">
        <f t="shared" si="4"/>
        <v>Everyone else</v>
      </c>
      <c r="R38" s="27" t="str">
        <f t="shared" si="5"/>
        <v>Career growth Negative</v>
      </c>
    </row>
    <row r="39" spans="1:18" ht="23.25" customHeight="1" x14ac:dyDescent="0.25">
      <c r="A39" s="25" t="s">
        <v>151</v>
      </c>
      <c r="B39" s="26" t="s">
        <v>77</v>
      </c>
      <c r="C39" s="25" t="s">
        <v>85</v>
      </c>
      <c r="D39" s="25">
        <v>5</v>
      </c>
      <c r="E39" s="25">
        <v>3</v>
      </c>
      <c r="F39" s="25">
        <v>4</v>
      </c>
      <c r="G39" s="25">
        <v>4</v>
      </c>
      <c r="H39" s="25">
        <v>2</v>
      </c>
      <c r="I39" s="25">
        <v>10</v>
      </c>
      <c r="J39" s="26" t="s">
        <v>152</v>
      </c>
      <c r="K39" s="26" t="s">
        <v>537</v>
      </c>
      <c r="L39" s="25" t="s">
        <v>515</v>
      </c>
      <c r="M39" s="27" t="str">
        <f t="shared" si="0"/>
        <v>Everyone else</v>
      </c>
      <c r="N39" s="27" t="str">
        <f t="shared" si="1"/>
        <v>Everyone else</v>
      </c>
      <c r="O39" s="27" t="str">
        <f t="shared" si="2"/>
        <v>Everyone else</v>
      </c>
      <c r="P39" s="27" t="str">
        <f t="shared" si="3"/>
        <v>Everyone else</v>
      </c>
      <c r="Q39" s="27" t="str">
        <f t="shared" si="4"/>
        <v>Everyone else</v>
      </c>
      <c r="R39" s="27" t="str">
        <f t="shared" si="5"/>
        <v>Everyone else</v>
      </c>
    </row>
    <row r="40" spans="1:18" ht="15" customHeight="1" x14ac:dyDescent="0.25">
      <c r="A40" s="25" t="s">
        <v>153</v>
      </c>
      <c r="B40" s="26" t="s">
        <v>91</v>
      </c>
      <c r="C40" s="25" t="s">
        <v>88</v>
      </c>
      <c r="D40" s="25">
        <v>4</v>
      </c>
      <c r="E40" s="25">
        <v>4</v>
      </c>
      <c r="F40" s="25">
        <v>5</v>
      </c>
      <c r="G40" s="25">
        <v>4</v>
      </c>
      <c r="H40" s="25">
        <v>4</v>
      </c>
      <c r="I40" s="25">
        <v>7</v>
      </c>
      <c r="J40" s="26" t="s">
        <v>125</v>
      </c>
      <c r="K40" s="26" t="s">
        <v>528</v>
      </c>
      <c r="L40" s="25" t="s">
        <v>515</v>
      </c>
      <c r="M40" s="27" t="str">
        <f t="shared" si="0"/>
        <v>Everyone else</v>
      </c>
      <c r="N40" s="27" t="str">
        <f t="shared" si="1"/>
        <v>Everyone else</v>
      </c>
      <c r="O40" s="27" t="str">
        <f t="shared" si="2"/>
        <v>Everyone else</v>
      </c>
      <c r="P40" s="27" t="str">
        <f t="shared" si="3"/>
        <v>Everyone else</v>
      </c>
      <c r="Q40" s="27" t="str">
        <f t="shared" si="4"/>
        <v>Everyone else</v>
      </c>
      <c r="R40" s="27" t="str">
        <f t="shared" si="5"/>
        <v>Everyone else</v>
      </c>
    </row>
    <row r="41" spans="1:18" ht="23.25" customHeight="1" x14ac:dyDescent="0.25">
      <c r="A41" s="25" t="s">
        <v>154</v>
      </c>
      <c r="B41" s="26" t="s">
        <v>73</v>
      </c>
      <c r="C41" s="25" t="s">
        <v>88</v>
      </c>
      <c r="D41" s="25">
        <v>5</v>
      </c>
      <c r="E41" s="25">
        <v>3</v>
      </c>
      <c r="F41" s="25">
        <v>4</v>
      </c>
      <c r="G41" s="25">
        <v>5</v>
      </c>
      <c r="H41" s="25">
        <v>5</v>
      </c>
      <c r="I41" s="25">
        <v>9</v>
      </c>
      <c r="J41" s="26" t="s">
        <v>155</v>
      </c>
      <c r="K41" s="26" t="s">
        <v>524</v>
      </c>
      <c r="L41" s="25" t="s">
        <v>515</v>
      </c>
      <c r="M41" s="27" t="str">
        <f t="shared" si="0"/>
        <v>Everyone else</v>
      </c>
      <c r="N41" s="27" t="str">
        <f t="shared" si="1"/>
        <v>Everyone else</v>
      </c>
      <c r="O41" s="27" t="str">
        <f t="shared" si="2"/>
        <v>Everyone else</v>
      </c>
      <c r="P41" s="27" t="str">
        <f t="shared" si="3"/>
        <v>Everyone else</v>
      </c>
      <c r="Q41" s="27" t="str">
        <f t="shared" si="4"/>
        <v>Everyone else</v>
      </c>
      <c r="R41" s="27" t="str">
        <f t="shared" si="5"/>
        <v>Everyone else</v>
      </c>
    </row>
    <row r="42" spans="1:18" ht="23.25" customHeight="1" x14ac:dyDescent="0.25">
      <c r="A42" s="25" t="s">
        <v>156</v>
      </c>
      <c r="B42" s="26" t="s">
        <v>73</v>
      </c>
      <c r="C42" s="25" t="s">
        <v>94</v>
      </c>
      <c r="D42" s="25">
        <v>3</v>
      </c>
      <c r="E42" s="25">
        <v>3</v>
      </c>
      <c r="F42" s="25">
        <v>4</v>
      </c>
      <c r="G42" s="25">
        <v>4</v>
      </c>
      <c r="H42" s="25">
        <v>4</v>
      </c>
      <c r="I42" s="25">
        <v>5</v>
      </c>
      <c r="J42" s="26" t="s">
        <v>157</v>
      </c>
      <c r="K42" s="26" t="s">
        <v>538</v>
      </c>
      <c r="L42" s="25" t="s">
        <v>515</v>
      </c>
      <c r="M42" s="27" t="str">
        <f t="shared" si="0"/>
        <v>Everyone else</v>
      </c>
      <c r="N42" s="27" t="str">
        <f t="shared" si="1"/>
        <v>Everyone else</v>
      </c>
      <c r="O42" s="27" t="str">
        <f t="shared" si="2"/>
        <v>Everyone else</v>
      </c>
      <c r="P42" s="27" t="str">
        <f t="shared" si="3"/>
        <v>Everyone else</v>
      </c>
      <c r="Q42" s="27" t="str">
        <f t="shared" si="4"/>
        <v>Everyone else</v>
      </c>
      <c r="R42" s="27" t="str">
        <f t="shared" si="5"/>
        <v>Everyone else</v>
      </c>
    </row>
    <row r="43" spans="1:18" ht="34.5" customHeight="1" x14ac:dyDescent="0.25">
      <c r="A43" s="25" t="s">
        <v>158</v>
      </c>
      <c r="B43" s="26" t="s">
        <v>118</v>
      </c>
      <c r="C43" s="25" t="s">
        <v>74</v>
      </c>
      <c r="D43" s="25">
        <v>2</v>
      </c>
      <c r="E43" s="25">
        <v>4</v>
      </c>
      <c r="F43" s="25">
        <v>3</v>
      </c>
      <c r="G43" s="25">
        <v>3</v>
      </c>
      <c r="H43" s="25">
        <v>3</v>
      </c>
      <c r="I43" s="25">
        <v>5</v>
      </c>
      <c r="J43" s="26" t="s">
        <v>159</v>
      </c>
      <c r="K43" s="26" t="s">
        <v>514</v>
      </c>
      <c r="L43" s="25" t="s">
        <v>519</v>
      </c>
      <c r="M43" s="27" t="str">
        <f t="shared" si="0"/>
        <v>Manager support Negative</v>
      </c>
      <c r="N43" s="27" t="str">
        <f t="shared" si="1"/>
        <v>Everyone else</v>
      </c>
      <c r="O43" s="27" t="str">
        <f t="shared" si="2"/>
        <v>Everyone else</v>
      </c>
      <c r="P43" s="27" t="str">
        <f t="shared" si="3"/>
        <v>Everyone else</v>
      </c>
      <c r="Q43" s="27" t="str">
        <f t="shared" si="4"/>
        <v>Everyone else</v>
      </c>
      <c r="R43" s="27" t="str">
        <f t="shared" si="5"/>
        <v>Everyone else</v>
      </c>
    </row>
    <row r="44" spans="1:18" ht="15" customHeight="1" x14ac:dyDescent="0.25">
      <c r="A44" s="25" t="s">
        <v>160</v>
      </c>
      <c r="B44" s="26" t="s">
        <v>118</v>
      </c>
      <c r="C44" s="25" t="s">
        <v>85</v>
      </c>
      <c r="D44" s="25">
        <v>5</v>
      </c>
      <c r="E44" s="25">
        <v>4</v>
      </c>
      <c r="F44" s="25">
        <v>4</v>
      </c>
      <c r="G44" s="25">
        <v>4</v>
      </c>
      <c r="H44" s="25">
        <v>5</v>
      </c>
      <c r="I44" s="25">
        <v>5</v>
      </c>
      <c r="J44" s="26" t="s">
        <v>121</v>
      </c>
      <c r="K44" s="26" t="s">
        <v>525</v>
      </c>
      <c r="L44" s="25" t="s">
        <v>515</v>
      </c>
      <c r="M44" s="27" t="str">
        <f t="shared" si="0"/>
        <v>Everyone else</v>
      </c>
      <c r="N44" s="27" t="str">
        <f t="shared" si="1"/>
        <v>Everyone else</v>
      </c>
      <c r="O44" s="27" t="str">
        <f t="shared" si="2"/>
        <v>Everyone else</v>
      </c>
      <c r="P44" s="27" t="str">
        <f t="shared" si="3"/>
        <v>Everyone else</v>
      </c>
      <c r="Q44" s="27" t="str">
        <f t="shared" si="4"/>
        <v>Everyone else</v>
      </c>
      <c r="R44" s="27" t="str">
        <f t="shared" si="5"/>
        <v>Everyone else</v>
      </c>
    </row>
    <row r="45" spans="1:18" ht="34.5" customHeight="1" x14ac:dyDescent="0.25">
      <c r="A45" s="25" t="s">
        <v>161</v>
      </c>
      <c r="B45" s="26" t="s">
        <v>77</v>
      </c>
      <c r="C45" s="25" t="s">
        <v>88</v>
      </c>
      <c r="D45" s="25">
        <v>4</v>
      </c>
      <c r="E45" s="25">
        <v>3</v>
      </c>
      <c r="F45" s="25">
        <v>2</v>
      </c>
      <c r="G45" s="25">
        <v>1</v>
      </c>
      <c r="H45" s="25">
        <v>3</v>
      </c>
      <c r="I45" s="25">
        <v>4</v>
      </c>
      <c r="J45" s="26" t="s">
        <v>95</v>
      </c>
      <c r="K45" s="26" t="s">
        <v>522</v>
      </c>
      <c r="L45" s="25" t="s">
        <v>519</v>
      </c>
      <c r="M45" s="27" t="str">
        <f t="shared" si="0"/>
        <v>Manager support Negative</v>
      </c>
      <c r="N45" s="27" t="str">
        <f t="shared" si="1"/>
        <v>Everyone else</v>
      </c>
      <c r="O45" s="27" t="str">
        <f t="shared" si="2"/>
        <v>Everyone else</v>
      </c>
      <c r="P45" s="27" t="str">
        <f t="shared" si="3"/>
        <v>Everyone else</v>
      </c>
      <c r="Q45" s="27" t="str">
        <f t="shared" si="4"/>
        <v>Pay and benefits Negative</v>
      </c>
      <c r="R45" s="27" t="str">
        <f t="shared" si="5"/>
        <v>Everyone else</v>
      </c>
    </row>
    <row r="46" spans="1:18" ht="15" customHeight="1" x14ac:dyDescent="0.25">
      <c r="A46" s="25" t="s">
        <v>162</v>
      </c>
      <c r="B46" s="26" t="s">
        <v>118</v>
      </c>
      <c r="C46" s="25" t="s">
        <v>94</v>
      </c>
      <c r="D46" s="25">
        <v>4</v>
      </c>
      <c r="E46" s="25">
        <v>5</v>
      </c>
      <c r="F46" s="25">
        <v>5</v>
      </c>
      <c r="G46" s="25">
        <v>3</v>
      </c>
      <c r="H46" s="25">
        <v>4</v>
      </c>
      <c r="I46" s="25">
        <v>8</v>
      </c>
      <c r="J46" s="26" t="s">
        <v>75</v>
      </c>
      <c r="K46" s="26" t="s">
        <v>514</v>
      </c>
      <c r="L46" s="25" t="s">
        <v>515</v>
      </c>
      <c r="M46" s="27" t="str">
        <f t="shared" si="0"/>
        <v>Everyone else</v>
      </c>
      <c r="N46" s="27" t="str">
        <f t="shared" si="1"/>
        <v>Everyone else</v>
      </c>
      <c r="O46" s="27" t="str">
        <f t="shared" si="2"/>
        <v>Everyone else</v>
      </c>
      <c r="P46" s="27" t="str">
        <f t="shared" si="3"/>
        <v>Everyone else</v>
      </c>
      <c r="Q46" s="27" t="str">
        <f t="shared" si="4"/>
        <v>Everyone else</v>
      </c>
      <c r="R46" s="27" t="str">
        <f t="shared" si="5"/>
        <v>Everyone else</v>
      </c>
    </row>
    <row r="47" spans="1:18" ht="23.25" customHeight="1" x14ac:dyDescent="0.25">
      <c r="A47" s="25" t="s">
        <v>163</v>
      </c>
      <c r="B47" s="26" t="s">
        <v>91</v>
      </c>
      <c r="C47" s="25" t="s">
        <v>85</v>
      </c>
      <c r="D47" s="25">
        <v>1</v>
      </c>
      <c r="E47" s="25">
        <v>2</v>
      </c>
      <c r="F47" s="25">
        <v>3</v>
      </c>
      <c r="G47" s="25">
        <v>2</v>
      </c>
      <c r="H47" s="25">
        <v>3</v>
      </c>
      <c r="I47" s="25">
        <v>3</v>
      </c>
      <c r="J47" s="26" t="s">
        <v>89</v>
      </c>
      <c r="K47" s="26" t="s">
        <v>521</v>
      </c>
      <c r="L47" s="25" t="s">
        <v>519</v>
      </c>
      <c r="M47" s="27" t="str">
        <f t="shared" si="0"/>
        <v>Everyone else</v>
      </c>
      <c r="N47" s="27" t="str">
        <f t="shared" si="1"/>
        <v>Everyone else</v>
      </c>
      <c r="O47" s="27" t="str">
        <f t="shared" si="2"/>
        <v>Workload Negative</v>
      </c>
      <c r="P47" s="27" t="str">
        <f t="shared" si="3"/>
        <v>Everyone else</v>
      </c>
      <c r="Q47" s="27" t="str">
        <f t="shared" si="4"/>
        <v>Everyone else</v>
      </c>
      <c r="R47" s="27" t="str">
        <f t="shared" si="5"/>
        <v>Everyone else</v>
      </c>
    </row>
    <row r="48" spans="1:18" ht="15" customHeight="1" x14ac:dyDescent="0.25">
      <c r="A48" s="25" t="s">
        <v>164</v>
      </c>
      <c r="B48" s="26" t="s">
        <v>73</v>
      </c>
      <c r="C48" s="25" t="s">
        <v>88</v>
      </c>
      <c r="D48" s="25">
        <v>4</v>
      </c>
      <c r="E48" s="25">
        <v>3</v>
      </c>
      <c r="F48" s="25">
        <v>5</v>
      </c>
      <c r="G48" s="25">
        <v>5</v>
      </c>
      <c r="H48" s="25">
        <v>5</v>
      </c>
      <c r="I48" s="25">
        <v>9</v>
      </c>
      <c r="J48" s="26" t="s">
        <v>78</v>
      </c>
      <c r="K48" s="26" t="s">
        <v>516</v>
      </c>
      <c r="L48" s="25" t="s">
        <v>515</v>
      </c>
      <c r="M48" s="27" t="str">
        <f t="shared" si="0"/>
        <v>Everyone else</v>
      </c>
      <c r="N48" s="27" t="str">
        <f t="shared" si="1"/>
        <v>Everyone else</v>
      </c>
      <c r="O48" s="27" t="str">
        <f t="shared" si="2"/>
        <v>Everyone else</v>
      </c>
      <c r="P48" s="27" t="str">
        <f t="shared" si="3"/>
        <v>Everyone else</v>
      </c>
      <c r="Q48" s="27" t="str">
        <f t="shared" si="4"/>
        <v>Everyone else</v>
      </c>
      <c r="R48" s="27" t="str">
        <f t="shared" si="5"/>
        <v>Everyone else</v>
      </c>
    </row>
    <row r="49" spans="1:18" ht="23.25" customHeight="1" x14ac:dyDescent="0.25">
      <c r="A49" s="25" t="s">
        <v>165</v>
      </c>
      <c r="B49" s="26" t="s">
        <v>118</v>
      </c>
      <c r="C49" s="25" t="s">
        <v>85</v>
      </c>
      <c r="D49" s="25">
        <v>4</v>
      </c>
      <c r="E49" s="25">
        <v>2</v>
      </c>
      <c r="F49" s="25">
        <v>2</v>
      </c>
      <c r="G49" s="25">
        <v>4</v>
      </c>
      <c r="H49" s="25">
        <v>3</v>
      </c>
      <c r="I49" s="25">
        <v>4</v>
      </c>
      <c r="J49" s="26" t="s">
        <v>166</v>
      </c>
      <c r="K49" s="26" t="s">
        <v>539</v>
      </c>
      <c r="L49" s="25" t="s">
        <v>519</v>
      </c>
      <c r="M49" s="27" t="str">
        <f t="shared" si="0"/>
        <v>Everyone else</v>
      </c>
      <c r="N49" s="27" t="str">
        <f t="shared" si="1"/>
        <v>Everyone else</v>
      </c>
      <c r="O49" s="27" t="str">
        <f t="shared" si="2"/>
        <v>Workload Negative</v>
      </c>
      <c r="P49" s="27" t="str">
        <f t="shared" si="3"/>
        <v>Everyone else</v>
      </c>
      <c r="Q49" s="27" t="str">
        <f t="shared" si="4"/>
        <v>Everyone else</v>
      </c>
      <c r="R49" s="27" t="str">
        <f t="shared" si="5"/>
        <v>Career growth Negative</v>
      </c>
    </row>
    <row r="50" spans="1:18" ht="34.5" customHeight="1" x14ac:dyDescent="0.25">
      <c r="A50" s="25" t="s">
        <v>167</v>
      </c>
      <c r="B50" s="26" t="s">
        <v>77</v>
      </c>
      <c r="C50" s="25" t="s">
        <v>94</v>
      </c>
      <c r="D50" s="25">
        <v>2</v>
      </c>
      <c r="E50" s="25">
        <v>3</v>
      </c>
      <c r="F50" s="25">
        <v>2</v>
      </c>
      <c r="G50" s="25">
        <v>2</v>
      </c>
      <c r="H50" s="25">
        <v>3</v>
      </c>
      <c r="I50" s="25">
        <v>1</v>
      </c>
      <c r="J50" s="26" t="s">
        <v>111</v>
      </c>
      <c r="K50" s="26" t="s">
        <v>525</v>
      </c>
      <c r="L50" s="25" t="s">
        <v>519</v>
      </c>
      <c r="M50" s="27" t="str">
        <f t="shared" si="0"/>
        <v>Everyone else</v>
      </c>
      <c r="N50" s="27" t="str">
        <f t="shared" si="1"/>
        <v>Everyone else</v>
      </c>
      <c r="O50" s="27" t="str">
        <f t="shared" si="2"/>
        <v>Everyone else</v>
      </c>
      <c r="P50" s="27" t="str">
        <f t="shared" si="3"/>
        <v>Everyone else</v>
      </c>
      <c r="Q50" s="27" t="str">
        <f t="shared" si="4"/>
        <v>Pay and benefits Negative</v>
      </c>
      <c r="R50" s="27" t="str">
        <f t="shared" si="5"/>
        <v>Everyone else</v>
      </c>
    </row>
    <row r="51" spans="1:18" ht="34.5" customHeight="1" x14ac:dyDescent="0.25">
      <c r="A51" s="25" t="s">
        <v>168</v>
      </c>
      <c r="B51" s="26" t="s">
        <v>82</v>
      </c>
      <c r="C51" s="25" t="s">
        <v>88</v>
      </c>
      <c r="D51" s="25">
        <v>3</v>
      </c>
      <c r="E51" s="25">
        <v>2</v>
      </c>
      <c r="F51" s="25">
        <v>1</v>
      </c>
      <c r="G51" s="25">
        <v>3</v>
      </c>
      <c r="H51" s="25">
        <v>4</v>
      </c>
      <c r="I51" s="25">
        <v>7</v>
      </c>
      <c r="J51" s="26" t="s">
        <v>169</v>
      </c>
      <c r="K51" s="26" t="s">
        <v>530</v>
      </c>
      <c r="L51" s="25" t="s">
        <v>519</v>
      </c>
      <c r="M51" s="27" t="str">
        <f t="shared" si="0"/>
        <v>Manager support Negative</v>
      </c>
      <c r="N51" s="27" t="str">
        <f t="shared" si="1"/>
        <v>Everyone else</v>
      </c>
      <c r="O51" s="27" t="str">
        <f t="shared" si="2"/>
        <v>Everyone else</v>
      </c>
      <c r="P51" s="27" t="str">
        <f t="shared" si="3"/>
        <v>Tools and systems Negative</v>
      </c>
      <c r="Q51" s="27" t="str">
        <f t="shared" si="4"/>
        <v>Everyone else</v>
      </c>
      <c r="R51" s="27" t="str">
        <f t="shared" si="5"/>
        <v>Everyone else</v>
      </c>
    </row>
    <row r="52" spans="1:18" ht="23.25" customHeight="1" x14ac:dyDescent="0.25">
      <c r="A52" s="25" t="s">
        <v>170</v>
      </c>
      <c r="B52" s="26" t="s">
        <v>82</v>
      </c>
      <c r="C52" s="25" t="s">
        <v>85</v>
      </c>
      <c r="D52" s="25">
        <v>2</v>
      </c>
      <c r="E52" s="25">
        <v>2</v>
      </c>
      <c r="F52" s="25">
        <v>3</v>
      </c>
      <c r="G52" s="25">
        <v>4</v>
      </c>
      <c r="H52" s="25">
        <v>4</v>
      </c>
      <c r="I52" s="25">
        <v>4</v>
      </c>
      <c r="J52" s="26" t="s">
        <v>99</v>
      </c>
      <c r="K52" s="26" t="s">
        <v>520</v>
      </c>
      <c r="L52" s="25" t="s">
        <v>519</v>
      </c>
      <c r="M52" s="27" t="str">
        <f t="shared" si="0"/>
        <v>Everyone else</v>
      </c>
      <c r="N52" s="27" t="str">
        <f t="shared" si="1"/>
        <v>Everyone else</v>
      </c>
      <c r="O52" s="27" t="str">
        <f t="shared" si="2"/>
        <v>Everyone else</v>
      </c>
      <c r="P52" s="27" t="str">
        <f t="shared" si="3"/>
        <v>Everyone else</v>
      </c>
      <c r="Q52" s="27" t="str">
        <f t="shared" si="4"/>
        <v>Everyone else</v>
      </c>
      <c r="R52" s="27" t="str">
        <f t="shared" si="5"/>
        <v>Career growth Negative</v>
      </c>
    </row>
    <row r="53" spans="1:18" ht="15" customHeight="1" x14ac:dyDescent="0.25">
      <c r="A53" s="25" t="s">
        <v>171</v>
      </c>
      <c r="B53" s="26" t="s">
        <v>91</v>
      </c>
      <c r="C53" s="25" t="s">
        <v>88</v>
      </c>
      <c r="D53" s="25">
        <v>3</v>
      </c>
      <c r="E53" s="25">
        <v>5</v>
      </c>
      <c r="F53" s="25">
        <v>4</v>
      </c>
      <c r="G53" s="25">
        <v>5</v>
      </c>
      <c r="H53" s="25">
        <v>4</v>
      </c>
      <c r="I53" s="25">
        <v>5</v>
      </c>
      <c r="J53" s="26" t="s">
        <v>172</v>
      </c>
      <c r="K53" s="26" t="s">
        <v>520</v>
      </c>
      <c r="L53" s="25" t="s">
        <v>515</v>
      </c>
      <c r="M53" s="27" t="str">
        <f t="shared" si="0"/>
        <v>Everyone else</v>
      </c>
      <c r="N53" s="27" t="str">
        <f t="shared" si="1"/>
        <v>Everyone else</v>
      </c>
      <c r="O53" s="27" t="str">
        <f t="shared" si="2"/>
        <v>Everyone else</v>
      </c>
      <c r="P53" s="27" t="str">
        <f t="shared" si="3"/>
        <v>Everyone else</v>
      </c>
      <c r="Q53" s="27" t="str">
        <f t="shared" si="4"/>
        <v>Everyone else</v>
      </c>
      <c r="R53" s="27" t="str">
        <f t="shared" si="5"/>
        <v>Everyone else</v>
      </c>
    </row>
    <row r="54" spans="1:18" ht="23.25" customHeight="1" x14ac:dyDescent="0.25">
      <c r="A54" s="25" t="s">
        <v>173</v>
      </c>
      <c r="B54" s="26" t="s">
        <v>108</v>
      </c>
      <c r="C54" s="25" t="s">
        <v>94</v>
      </c>
      <c r="D54" s="25">
        <v>3</v>
      </c>
      <c r="E54" s="25">
        <v>5</v>
      </c>
      <c r="F54" s="25">
        <v>3</v>
      </c>
      <c r="G54" s="25">
        <v>4</v>
      </c>
      <c r="H54" s="25">
        <v>4</v>
      </c>
      <c r="I54" s="25">
        <v>8</v>
      </c>
      <c r="J54" s="26" t="s">
        <v>174</v>
      </c>
      <c r="K54" s="26" t="s">
        <v>538</v>
      </c>
      <c r="L54" s="25" t="s">
        <v>515</v>
      </c>
      <c r="M54" s="27" t="str">
        <f t="shared" si="0"/>
        <v>Everyone else</v>
      </c>
      <c r="N54" s="27" t="str">
        <f t="shared" si="1"/>
        <v>Everyone else</v>
      </c>
      <c r="O54" s="27" t="str">
        <f t="shared" si="2"/>
        <v>Everyone else</v>
      </c>
      <c r="P54" s="27" t="str">
        <f t="shared" si="3"/>
        <v>Everyone else</v>
      </c>
      <c r="Q54" s="27" t="str">
        <f t="shared" si="4"/>
        <v>Everyone else</v>
      </c>
      <c r="R54" s="27" t="str">
        <f t="shared" si="5"/>
        <v>Everyone else</v>
      </c>
    </row>
    <row r="55" spans="1:18" ht="23.25" customHeight="1" x14ac:dyDescent="0.25">
      <c r="A55" s="25" t="s">
        <v>175</v>
      </c>
      <c r="B55" s="26" t="s">
        <v>82</v>
      </c>
      <c r="C55" s="25" t="s">
        <v>94</v>
      </c>
      <c r="D55" s="25">
        <v>3</v>
      </c>
      <c r="E55" s="25">
        <v>2</v>
      </c>
      <c r="F55" s="25">
        <v>3</v>
      </c>
      <c r="G55" s="25">
        <v>3</v>
      </c>
      <c r="H55" s="25">
        <v>3</v>
      </c>
      <c r="I55" s="25">
        <v>4</v>
      </c>
      <c r="J55" s="26" t="s">
        <v>101</v>
      </c>
      <c r="K55" s="26" t="s">
        <v>516</v>
      </c>
      <c r="L55" s="25" t="s">
        <v>519</v>
      </c>
      <c r="M55" s="27" t="str">
        <f t="shared" si="0"/>
        <v>Everyone else</v>
      </c>
      <c r="N55" s="27" t="str">
        <f t="shared" si="1"/>
        <v>Flexibility Negative</v>
      </c>
      <c r="O55" s="27" t="str">
        <f t="shared" si="2"/>
        <v>Everyone else</v>
      </c>
      <c r="P55" s="27" t="str">
        <f t="shared" si="3"/>
        <v>Everyone else</v>
      </c>
      <c r="Q55" s="27" t="str">
        <f t="shared" si="4"/>
        <v>Everyone else</v>
      </c>
      <c r="R55" s="27" t="str">
        <f t="shared" si="5"/>
        <v>Everyone else</v>
      </c>
    </row>
    <row r="56" spans="1:18" ht="34.5" customHeight="1" x14ac:dyDescent="0.25">
      <c r="A56" s="25" t="s">
        <v>176</v>
      </c>
      <c r="B56" s="26" t="s">
        <v>108</v>
      </c>
      <c r="C56" s="25" t="s">
        <v>94</v>
      </c>
      <c r="D56" s="25">
        <v>2</v>
      </c>
      <c r="E56" s="25">
        <v>2</v>
      </c>
      <c r="F56" s="25">
        <v>4</v>
      </c>
      <c r="G56" s="25">
        <v>4</v>
      </c>
      <c r="H56" s="25">
        <v>2</v>
      </c>
      <c r="I56" s="25">
        <v>7</v>
      </c>
      <c r="J56" s="26" t="s">
        <v>177</v>
      </c>
      <c r="K56" s="26" t="s">
        <v>540</v>
      </c>
      <c r="L56" s="25" t="s">
        <v>519</v>
      </c>
      <c r="M56" s="27" t="str">
        <f t="shared" si="0"/>
        <v>Everyone else</v>
      </c>
      <c r="N56" s="27" t="str">
        <f t="shared" si="1"/>
        <v>Flexibility Negative</v>
      </c>
      <c r="O56" s="27" t="str">
        <f t="shared" si="2"/>
        <v>Everyone else</v>
      </c>
      <c r="P56" s="27" t="str">
        <f t="shared" si="3"/>
        <v>Tools and systems Negative</v>
      </c>
      <c r="Q56" s="27" t="str">
        <f t="shared" si="4"/>
        <v>Everyone else</v>
      </c>
      <c r="R56" s="27" t="str">
        <f t="shared" si="5"/>
        <v>Everyone else</v>
      </c>
    </row>
    <row r="57" spans="1:18" ht="34.5" customHeight="1" x14ac:dyDescent="0.25">
      <c r="A57" s="25" t="s">
        <v>178</v>
      </c>
      <c r="B57" s="26" t="s">
        <v>82</v>
      </c>
      <c r="C57" s="25" t="s">
        <v>74</v>
      </c>
      <c r="D57" s="25">
        <v>4</v>
      </c>
      <c r="E57" s="25">
        <v>3</v>
      </c>
      <c r="F57" s="25">
        <v>3</v>
      </c>
      <c r="G57" s="25">
        <v>4</v>
      </c>
      <c r="H57" s="25">
        <v>4</v>
      </c>
      <c r="I57" s="25">
        <v>10</v>
      </c>
      <c r="J57" s="26" t="s">
        <v>179</v>
      </c>
      <c r="K57" s="26" t="s">
        <v>541</v>
      </c>
      <c r="L57" s="25" t="s">
        <v>519</v>
      </c>
      <c r="M57" s="27" t="str">
        <f t="shared" si="0"/>
        <v>Everyone else</v>
      </c>
      <c r="N57" s="27" t="str">
        <f t="shared" si="1"/>
        <v>Everyone else</v>
      </c>
      <c r="O57" s="27" t="str">
        <f t="shared" si="2"/>
        <v>Everyone else</v>
      </c>
      <c r="P57" s="27" t="str">
        <f t="shared" si="3"/>
        <v>Tools and systems Negative</v>
      </c>
      <c r="Q57" s="27" t="str">
        <f t="shared" si="4"/>
        <v>Everyone else</v>
      </c>
      <c r="R57" s="27" t="str">
        <f t="shared" si="5"/>
        <v>Career growth Negative</v>
      </c>
    </row>
    <row r="58" spans="1:18" ht="15" customHeight="1" x14ac:dyDescent="0.25">
      <c r="A58" s="25" t="s">
        <v>180</v>
      </c>
      <c r="B58" s="26" t="s">
        <v>82</v>
      </c>
      <c r="C58" s="25" t="s">
        <v>94</v>
      </c>
      <c r="D58" s="25">
        <v>2</v>
      </c>
      <c r="E58" s="25">
        <v>3</v>
      </c>
      <c r="F58" s="25">
        <v>4</v>
      </c>
      <c r="G58" s="25">
        <v>5</v>
      </c>
      <c r="H58" s="25">
        <v>4</v>
      </c>
      <c r="I58" s="25">
        <v>10</v>
      </c>
      <c r="J58" s="26" t="s">
        <v>181</v>
      </c>
      <c r="K58" s="26" t="s">
        <v>528</v>
      </c>
      <c r="L58" s="25" t="s">
        <v>515</v>
      </c>
      <c r="M58" s="27" t="str">
        <f t="shared" si="0"/>
        <v>Everyone else</v>
      </c>
      <c r="N58" s="27" t="str">
        <f t="shared" si="1"/>
        <v>Everyone else</v>
      </c>
      <c r="O58" s="27" t="str">
        <f t="shared" si="2"/>
        <v>Everyone else</v>
      </c>
      <c r="P58" s="27" t="str">
        <f t="shared" si="3"/>
        <v>Everyone else</v>
      </c>
      <c r="Q58" s="27" t="str">
        <f t="shared" si="4"/>
        <v>Everyone else</v>
      </c>
      <c r="R58" s="27" t="str">
        <f t="shared" si="5"/>
        <v>Everyone else</v>
      </c>
    </row>
    <row r="59" spans="1:18" ht="34.5" customHeight="1" x14ac:dyDescent="0.25">
      <c r="A59" s="25" t="s">
        <v>182</v>
      </c>
      <c r="B59" s="26" t="s">
        <v>118</v>
      </c>
      <c r="C59" s="25" t="s">
        <v>74</v>
      </c>
      <c r="D59" s="25">
        <v>2</v>
      </c>
      <c r="E59" s="25">
        <v>4</v>
      </c>
      <c r="F59" s="25">
        <v>3</v>
      </c>
      <c r="G59" s="25">
        <v>1</v>
      </c>
      <c r="H59" s="25">
        <v>1</v>
      </c>
      <c r="I59" s="25">
        <v>6</v>
      </c>
      <c r="J59" s="26" t="s">
        <v>183</v>
      </c>
      <c r="K59" s="26" t="s">
        <v>542</v>
      </c>
      <c r="L59" s="25" t="s">
        <v>519</v>
      </c>
      <c r="M59" s="27" t="str">
        <f t="shared" si="0"/>
        <v>Everyone else</v>
      </c>
      <c r="N59" s="27" t="str">
        <f t="shared" si="1"/>
        <v>Everyone else</v>
      </c>
      <c r="O59" s="27" t="str">
        <f t="shared" si="2"/>
        <v>Everyone else</v>
      </c>
      <c r="P59" s="27" t="str">
        <f t="shared" si="3"/>
        <v>Everyone else</v>
      </c>
      <c r="Q59" s="27" t="str">
        <f t="shared" si="4"/>
        <v>Pay and benefits Negative</v>
      </c>
      <c r="R59" s="27" t="str">
        <f t="shared" si="5"/>
        <v>Career growth Negative</v>
      </c>
    </row>
    <row r="60" spans="1:18" ht="23.25" customHeight="1" x14ac:dyDescent="0.25">
      <c r="A60" s="25" t="s">
        <v>184</v>
      </c>
      <c r="B60" s="26" t="s">
        <v>77</v>
      </c>
      <c r="C60" s="25" t="s">
        <v>85</v>
      </c>
      <c r="D60" s="25">
        <v>2</v>
      </c>
      <c r="E60" s="25">
        <v>3</v>
      </c>
      <c r="F60" s="25">
        <v>3</v>
      </c>
      <c r="G60" s="25">
        <v>2</v>
      </c>
      <c r="H60" s="25">
        <v>3</v>
      </c>
      <c r="I60" s="25">
        <v>5</v>
      </c>
      <c r="J60" s="26" t="s">
        <v>89</v>
      </c>
      <c r="K60" s="26" t="s">
        <v>521</v>
      </c>
      <c r="L60" s="25" t="s">
        <v>519</v>
      </c>
      <c r="M60" s="27" t="str">
        <f t="shared" si="0"/>
        <v>Everyone else</v>
      </c>
      <c r="N60" s="27" t="str">
        <f t="shared" si="1"/>
        <v>Everyone else</v>
      </c>
      <c r="O60" s="27" t="str">
        <f t="shared" si="2"/>
        <v>Workload Negative</v>
      </c>
      <c r="P60" s="27" t="str">
        <f t="shared" si="3"/>
        <v>Everyone else</v>
      </c>
      <c r="Q60" s="27" t="str">
        <f t="shared" si="4"/>
        <v>Everyone else</v>
      </c>
      <c r="R60" s="27" t="str">
        <f t="shared" si="5"/>
        <v>Everyone else</v>
      </c>
    </row>
    <row r="61" spans="1:18" ht="34.5" customHeight="1" x14ac:dyDescent="0.25">
      <c r="A61" s="25" t="s">
        <v>185</v>
      </c>
      <c r="B61" s="26" t="s">
        <v>73</v>
      </c>
      <c r="C61" s="25" t="s">
        <v>85</v>
      </c>
      <c r="D61" s="25">
        <v>2</v>
      </c>
      <c r="E61" s="25">
        <v>4</v>
      </c>
      <c r="F61" s="25">
        <v>4</v>
      </c>
      <c r="G61" s="25">
        <v>3</v>
      </c>
      <c r="H61" s="25">
        <v>3</v>
      </c>
      <c r="I61" s="25">
        <v>5</v>
      </c>
      <c r="J61" s="26" t="s">
        <v>186</v>
      </c>
      <c r="K61" s="26" t="s">
        <v>542</v>
      </c>
      <c r="L61" s="25" t="s">
        <v>519</v>
      </c>
      <c r="M61" s="27" t="str">
        <f t="shared" si="0"/>
        <v>Everyone else</v>
      </c>
      <c r="N61" s="27" t="str">
        <f t="shared" si="1"/>
        <v>Everyone else</v>
      </c>
      <c r="O61" s="27" t="str">
        <f t="shared" si="2"/>
        <v>Everyone else</v>
      </c>
      <c r="P61" s="27" t="str">
        <f t="shared" si="3"/>
        <v>Everyone else</v>
      </c>
      <c r="Q61" s="27" t="str">
        <f t="shared" si="4"/>
        <v>Pay and benefits Negative</v>
      </c>
      <c r="R61" s="27" t="str">
        <f t="shared" si="5"/>
        <v>Career growth Negative</v>
      </c>
    </row>
    <row r="62" spans="1:18" ht="23.25" customHeight="1" x14ac:dyDescent="0.25">
      <c r="A62" s="25" t="s">
        <v>187</v>
      </c>
      <c r="B62" s="26" t="s">
        <v>118</v>
      </c>
      <c r="C62" s="25" t="s">
        <v>88</v>
      </c>
      <c r="D62" s="25">
        <v>3</v>
      </c>
      <c r="E62" s="25">
        <v>5</v>
      </c>
      <c r="F62" s="25">
        <v>3</v>
      </c>
      <c r="G62" s="25">
        <v>5</v>
      </c>
      <c r="H62" s="25">
        <v>2</v>
      </c>
      <c r="I62" s="25">
        <v>7</v>
      </c>
      <c r="J62" s="26" t="s">
        <v>188</v>
      </c>
      <c r="K62" s="26" t="s">
        <v>527</v>
      </c>
      <c r="L62" s="25" t="s">
        <v>515</v>
      </c>
      <c r="M62" s="27" t="str">
        <f t="shared" si="0"/>
        <v>Everyone else</v>
      </c>
      <c r="N62" s="27" t="str">
        <f t="shared" si="1"/>
        <v>Everyone else</v>
      </c>
      <c r="O62" s="27" t="str">
        <f t="shared" si="2"/>
        <v>Everyone else</v>
      </c>
      <c r="P62" s="27" t="str">
        <f t="shared" si="3"/>
        <v>Everyone else</v>
      </c>
      <c r="Q62" s="27" t="str">
        <f t="shared" si="4"/>
        <v>Everyone else</v>
      </c>
      <c r="R62" s="27" t="str">
        <f t="shared" si="5"/>
        <v>Everyone else</v>
      </c>
    </row>
    <row r="63" spans="1:18" ht="34.5" customHeight="1" x14ac:dyDescent="0.25">
      <c r="A63" s="25" t="s">
        <v>189</v>
      </c>
      <c r="B63" s="26" t="s">
        <v>77</v>
      </c>
      <c r="C63" s="25" t="s">
        <v>88</v>
      </c>
      <c r="D63" s="25">
        <v>2</v>
      </c>
      <c r="E63" s="25">
        <v>2</v>
      </c>
      <c r="F63" s="25">
        <v>3</v>
      </c>
      <c r="G63" s="25">
        <v>3</v>
      </c>
      <c r="H63" s="25">
        <v>5</v>
      </c>
      <c r="I63" s="25">
        <v>5</v>
      </c>
      <c r="J63" s="26" t="s">
        <v>190</v>
      </c>
      <c r="K63" s="26" t="s">
        <v>533</v>
      </c>
      <c r="L63" s="25" t="s">
        <v>519</v>
      </c>
      <c r="M63" s="27" t="str">
        <f t="shared" si="0"/>
        <v>Everyone else</v>
      </c>
      <c r="N63" s="27" t="str">
        <f t="shared" si="1"/>
        <v>Everyone else</v>
      </c>
      <c r="O63" s="27" t="str">
        <f t="shared" si="2"/>
        <v>Workload Negative</v>
      </c>
      <c r="P63" s="27" t="str">
        <f t="shared" si="3"/>
        <v>Tools and systems Negative</v>
      </c>
      <c r="Q63" s="27" t="str">
        <f t="shared" si="4"/>
        <v>Everyone else</v>
      </c>
      <c r="R63" s="27" t="str">
        <f t="shared" si="5"/>
        <v>Everyone else</v>
      </c>
    </row>
    <row r="64" spans="1:18" ht="15" customHeight="1" x14ac:dyDescent="0.25">
      <c r="A64" s="25" t="s">
        <v>191</v>
      </c>
      <c r="B64" s="26" t="s">
        <v>91</v>
      </c>
      <c r="C64" s="25" t="s">
        <v>94</v>
      </c>
      <c r="D64" s="25">
        <v>3</v>
      </c>
      <c r="E64" s="25">
        <v>3</v>
      </c>
      <c r="F64" s="25">
        <v>3</v>
      </c>
      <c r="G64" s="25">
        <v>5</v>
      </c>
      <c r="H64" s="25">
        <v>4</v>
      </c>
      <c r="I64" s="25">
        <v>4</v>
      </c>
      <c r="J64" s="26" t="s">
        <v>192</v>
      </c>
      <c r="K64" s="26" t="s">
        <v>514</v>
      </c>
      <c r="L64" s="25" t="s">
        <v>515</v>
      </c>
      <c r="M64" s="27" t="str">
        <f t="shared" si="0"/>
        <v>Everyone else</v>
      </c>
      <c r="N64" s="27" t="str">
        <f t="shared" si="1"/>
        <v>Everyone else</v>
      </c>
      <c r="O64" s="27" t="str">
        <f t="shared" si="2"/>
        <v>Everyone else</v>
      </c>
      <c r="P64" s="27" t="str">
        <f t="shared" si="3"/>
        <v>Everyone else</v>
      </c>
      <c r="Q64" s="27" t="str">
        <f t="shared" si="4"/>
        <v>Everyone else</v>
      </c>
      <c r="R64" s="27" t="str">
        <f t="shared" si="5"/>
        <v>Everyone else</v>
      </c>
    </row>
    <row r="65" spans="1:18" ht="23.25" customHeight="1" x14ac:dyDescent="0.25">
      <c r="A65" s="25" t="s">
        <v>193</v>
      </c>
      <c r="B65" s="26" t="s">
        <v>77</v>
      </c>
      <c r="C65" s="25" t="s">
        <v>74</v>
      </c>
      <c r="D65" s="25">
        <v>2</v>
      </c>
      <c r="E65" s="25">
        <v>2</v>
      </c>
      <c r="F65" s="25">
        <v>2</v>
      </c>
      <c r="G65" s="25">
        <v>3</v>
      </c>
      <c r="H65" s="25">
        <v>2</v>
      </c>
      <c r="I65" s="25">
        <v>6</v>
      </c>
      <c r="J65" s="26" t="s">
        <v>99</v>
      </c>
      <c r="K65" s="26" t="s">
        <v>520</v>
      </c>
      <c r="L65" s="25" t="s">
        <v>519</v>
      </c>
      <c r="M65" s="27" t="str">
        <f t="shared" si="0"/>
        <v>Everyone else</v>
      </c>
      <c r="N65" s="27" t="str">
        <f t="shared" si="1"/>
        <v>Everyone else</v>
      </c>
      <c r="O65" s="27" t="str">
        <f t="shared" si="2"/>
        <v>Everyone else</v>
      </c>
      <c r="P65" s="27" t="str">
        <f t="shared" si="3"/>
        <v>Everyone else</v>
      </c>
      <c r="Q65" s="27" t="str">
        <f t="shared" si="4"/>
        <v>Everyone else</v>
      </c>
      <c r="R65" s="27" t="str">
        <f t="shared" si="5"/>
        <v>Career growth Negative</v>
      </c>
    </row>
    <row r="66" spans="1:18" ht="23.25" customHeight="1" x14ac:dyDescent="0.25">
      <c r="A66" s="25" t="s">
        <v>194</v>
      </c>
      <c r="B66" s="26" t="s">
        <v>82</v>
      </c>
      <c r="C66" s="25" t="s">
        <v>94</v>
      </c>
      <c r="D66" s="25">
        <v>3</v>
      </c>
      <c r="E66" s="25">
        <v>1</v>
      </c>
      <c r="F66" s="25">
        <v>2</v>
      </c>
      <c r="G66" s="25">
        <v>1</v>
      </c>
      <c r="H66" s="25">
        <v>2</v>
      </c>
      <c r="I66" s="25">
        <v>7</v>
      </c>
      <c r="J66" s="26" t="s">
        <v>150</v>
      </c>
      <c r="K66" s="26" t="s">
        <v>536</v>
      </c>
      <c r="L66" s="25" t="s">
        <v>519</v>
      </c>
      <c r="M66" s="27" t="str">
        <f t="shared" ref="M66:M129" si="6">IF(AND(ISNUMBER(SEARCH("Manager support",K66)),L66="Negative"),"Manager support Negative","Everyone else")</f>
        <v>Everyone else</v>
      </c>
      <c r="N66" s="27" t="str">
        <f t="shared" ref="N66:N129" si="7">IF(AND(ISNUMBER(SEARCH("Flexibility",K66)),L66="Negative"),"Flexibility Negative","Everyone else")</f>
        <v>Flexibility Negative</v>
      </c>
      <c r="O66" s="27" t="str">
        <f t="shared" ref="O66:O129" si="8">IF(AND(ISNUMBER(SEARCH("Workload",K66)),L66="Negative"),"Workload Negative","Everyone else")</f>
        <v>Everyone else</v>
      </c>
      <c r="P66" s="27" t="str">
        <f t="shared" ref="P66:P129" si="9">IF(AND(ISNUMBER(SEARCH("Tools and systems",K66)),L66="Negative"),"Tools and systems Negative","Everyone else")</f>
        <v>Everyone else</v>
      </c>
      <c r="Q66" s="27" t="str">
        <f t="shared" ref="Q66:Q129" si="10">IF(AND(ISNUMBER(SEARCH("Pay and benefits",K66)),L66="Negative"),"Pay and benefits Negative","Everyone else")</f>
        <v>Everyone else</v>
      </c>
      <c r="R66" s="27" t="str">
        <f t="shared" ref="R66:R129" si="11">IF(AND(ISNUMBER(SEARCH("Career growth",K66)),L66="Negative"),"Career growth Negative","Everyone else")</f>
        <v>Career growth Negative</v>
      </c>
    </row>
    <row r="67" spans="1:18" ht="23.25" customHeight="1" x14ac:dyDescent="0.25">
      <c r="A67" s="25" t="s">
        <v>195</v>
      </c>
      <c r="B67" s="26" t="s">
        <v>91</v>
      </c>
      <c r="C67" s="25" t="s">
        <v>88</v>
      </c>
      <c r="D67" s="25">
        <v>4</v>
      </c>
      <c r="E67" s="25">
        <v>3</v>
      </c>
      <c r="F67" s="25">
        <v>4</v>
      </c>
      <c r="G67" s="25">
        <v>3</v>
      </c>
      <c r="H67" s="25">
        <v>4</v>
      </c>
      <c r="I67" s="25">
        <v>5</v>
      </c>
      <c r="J67" s="26" t="s">
        <v>196</v>
      </c>
      <c r="K67" s="26" t="s">
        <v>543</v>
      </c>
      <c r="L67" s="25" t="s">
        <v>515</v>
      </c>
      <c r="M67" s="27" t="str">
        <f t="shared" si="6"/>
        <v>Everyone else</v>
      </c>
      <c r="N67" s="27" t="str">
        <f t="shared" si="7"/>
        <v>Everyone else</v>
      </c>
      <c r="O67" s="27" t="str">
        <f t="shared" si="8"/>
        <v>Everyone else</v>
      </c>
      <c r="P67" s="27" t="str">
        <f t="shared" si="9"/>
        <v>Everyone else</v>
      </c>
      <c r="Q67" s="27" t="str">
        <f t="shared" si="10"/>
        <v>Everyone else</v>
      </c>
      <c r="R67" s="27" t="str">
        <f t="shared" si="11"/>
        <v>Everyone else</v>
      </c>
    </row>
    <row r="68" spans="1:18" ht="34.5" customHeight="1" x14ac:dyDescent="0.25">
      <c r="A68" s="25" t="s">
        <v>197</v>
      </c>
      <c r="B68" s="26" t="s">
        <v>77</v>
      </c>
      <c r="C68" s="25" t="s">
        <v>85</v>
      </c>
      <c r="D68" s="25">
        <v>3</v>
      </c>
      <c r="E68" s="25">
        <v>2</v>
      </c>
      <c r="F68" s="25">
        <v>2</v>
      </c>
      <c r="G68" s="25">
        <v>2</v>
      </c>
      <c r="H68" s="25">
        <v>3</v>
      </c>
      <c r="I68" s="25">
        <v>3</v>
      </c>
      <c r="J68" s="26" t="s">
        <v>129</v>
      </c>
      <c r="K68" s="26" t="s">
        <v>530</v>
      </c>
      <c r="L68" s="25" t="s">
        <v>519</v>
      </c>
      <c r="M68" s="27" t="str">
        <f t="shared" si="6"/>
        <v>Manager support Negative</v>
      </c>
      <c r="N68" s="27" t="str">
        <f t="shared" si="7"/>
        <v>Everyone else</v>
      </c>
      <c r="O68" s="27" t="str">
        <f t="shared" si="8"/>
        <v>Everyone else</v>
      </c>
      <c r="P68" s="27" t="str">
        <f t="shared" si="9"/>
        <v>Tools and systems Negative</v>
      </c>
      <c r="Q68" s="27" t="str">
        <f t="shared" si="10"/>
        <v>Everyone else</v>
      </c>
      <c r="R68" s="27" t="str">
        <f t="shared" si="11"/>
        <v>Everyone else</v>
      </c>
    </row>
    <row r="69" spans="1:18" ht="23.25" customHeight="1" x14ac:dyDescent="0.25">
      <c r="A69" s="25" t="s">
        <v>198</v>
      </c>
      <c r="B69" s="26" t="s">
        <v>108</v>
      </c>
      <c r="C69" s="25" t="s">
        <v>88</v>
      </c>
      <c r="D69" s="25">
        <v>4</v>
      </c>
      <c r="E69" s="25">
        <v>4</v>
      </c>
      <c r="F69" s="25">
        <v>4</v>
      </c>
      <c r="G69" s="25">
        <v>3</v>
      </c>
      <c r="H69" s="25">
        <v>3</v>
      </c>
      <c r="I69" s="25">
        <v>7</v>
      </c>
      <c r="J69" s="26" t="s">
        <v>199</v>
      </c>
      <c r="K69" s="26" t="s">
        <v>522</v>
      </c>
      <c r="L69" s="25" t="s">
        <v>515</v>
      </c>
      <c r="M69" s="27" t="str">
        <f t="shared" si="6"/>
        <v>Everyone else</v>
      </c>
      <c r="N69" s="27" t="str">
        <f t="shared" si="7"/>
        <v>Everyone else</v>
      </c>
      <c r="O69" s="27" t="str">
        <f t="shared" si="8"/>
        <v>Everyone else</v>
      </c>
      <c r="P69" s="27" t="str">
        <f t="shared" si="9"/>
        <v>Everyone else</v>
      </c>
      <c r="Q69" s="27" t="str">
        <f t="shared" si="10"/>
        <v>Everyone else</v>
      </c>
      <c r="R69" s="27" t="str">
        <f t="shared" si="11"/>
        <v>Everyone else</v>
      </c>
    </row>
    <row r="70" spans="1:18" ht="34.5" customHeight="1" x14ac:dyDescent="0.25">
      <c r="A70" s="25" t="s">
        <v>200</v>
      </c>
      <c r="B70" s="26" t="s">
        <v>82</v>
      </c>
      <c r="C70" s="25" t="s">
        <v>74</v>
      </c>
      <c r="D70" s="25">
        <v>3</v>
      </c>
      <c r="E70" s="25">
        <v>3</v>
      </c>
      <c r="F70" s="25">
        <v>3</v>
      </c>
      <c r="G70" s="25">
        <v>3</v>
      </c>
      <c r="H70" s="25">
        <v>1</v>
      </c>
      <c r="I70" s="25">
        <v>2</v>
      </c>
      <c r="J70" s="26" t="s">
        <v>201</v>
      </c>
      <c r="K70" s="26" t="s">
        <v>528</v>
      </c>
      <c r="L70" s="25" t="s">
        <v>519</v>
      </c>
      <c r="M70" s="27" t="str">
        <f t="shared" si="6"/>
        <v>Everyone else</v>
      </c>
      <c r="N70" s="27" t="str">
        <f t="shared" si="7"/>
        <v>Everyone else</v>
      </c>
      <c r="O70" s="27" t="str">
        <f t="shared" si="8"/>
        <v>Everyone else</v>
      </c>
      <c r="P70" s="27" t="str">
        <f t="shared" si="9"/>
        <v>Tools and systems Negative</v>
      </c>
      <c r="Q70" s="27" t="str">
        <f t="shared" si="10"/>
        <v>Everyone else</v>
      </c>
      <c r="R70" s="27" t="str">
        <f t="shared" si="11"/>
        <v>Everyone else</v>
      </c>
    </row>
    <row r="71" spans="1:18" ht="34.5" customHeight="1" x14ac:dyDescent="0.25">
      <c r="A71" s="25" t="s">
        <v>202</v>
      </c>
      <c r="B71" s="26" t="s">
        <v>108</v>
      </c>
      <c r="C71" s="25" t="s">
        <v>94</v>
      </c>
      <c r="D71" s="25">
        <v>5</v>
      </c>
      <c r="E71" s="25">
        <v>2</v>
      </c>
      <c r="F71" s="25">
        <v>3</v>
      </c>
      <c r="G71" s="25">
        <v>4</v>
      </c>
      <c r="H71" s="25">
        <v>3</v>
      </c>
      <c r="I71" s="25">
        <v>4</v>
      </c>
      <c r="J71" s="26" t="s">
        <v>116</v>
      </c>
      <c r="K71" s="26" t="s">
        <v>527</v>
      </c>
      <c r="L71" s="25" t="s">
        <v>519</v>
      </c>
      <c r="M71" s="27" t="str">
        <f t="shared" si="6"/>
        <v>Manager support Negative</v>
      </c>
      <c r="N71" s="27" t="str">
        <f t="shared" si="7"/>
        <v>Everyone else</v>
      </c>
      <c r="O71" s="27" t="str">
        <f t="shared" si="8"/>
        <v>Everyone else</v>
      </c>
      <c r="P71" s="27" t="str">
        <f t="shared" si="9"/>
        <v>Everyone else</v>
      </c>
      <c r="Q71" s="27" t="str">
        <f t="shared" si="10"/>
        <v>Pay and benefits Negative</v>
      </c>
      <c r="R71" s="27" t="str">
        <f t="shared" si="11"/>
        <v>Everyone else</v>
      </c>
    </row>
    <row r="72" spans="1:18" ht="34.5" customHeight="1" x14ac:dyDescent="0.25">
      <c r="A72" s="25" t="s">
        <v>203</v>
      </c>
      <c r="B72" s="26" t="s">
        <v>73</v>
      </c>
      <c r="C72" s="25" t="s">
        <v>85</v>
      </c>
      <c r="D72" s="25">
        <v>3</v>
      </c>
      <c r="E72" s="25">
        <v>3</v>
      </c>
      <c r="F72" s="25">
        <v>2</v>
      </c>
      <c r="G72" s="25">
        <v>4</v>
      </c>
      <c r="H72" s="25">
        <v>2</v>
      </c>
      <c r="I72" s="25">
        <v>7</v>
      </c>
      <c r="J72" s="26" t="s">
        <v>201</v>
      </c>
      <c r="K72" s="26" t="s">
        <v>528</v>
      </c>
      <c r="L72" s="25" t="s">
        <v>519</v>
      </c>
      <c r="M72" s="27" t="str">
        <f t="shared" si="6"/>
        <v>Everyone else</v>
      </c>
      <c r="N72" s="27" t="str">
        <f t="shared" si="7"/>
        <v>Everyone else</v>
      </c>
      <c r="O72" s="27" t="str">
        <f t="shared" si="8"/>
        <v>Everyone else</v>
      </c>
      <c r="P72" s="27" t="str">
        <f t="shared" si="9"/>
        <v>Tools and systems Negative</v>
      </c>
      <c r="Q72" s="27" t="str">
        <f t="shared" si="10"/>
        <v>Everyone else</v>
      </c>
      <c r="R72" s="27" t="str">
        <f t="shared" si="11"/>
        <v>Everyone else</v>
      </c>
    </row>
    <row r="73" spans="1:18" ht="23.25" customHeight="1" x14ac:dyDescent="0.25">
      <c r="A73" s="25" t="s">
        <v>204</v>
      </c>
      <c r="B73" s="26" t="s">
        <v>82</v>
      </c>
      <c r="C73" s="25" t="s">
        <v>85</v>
      </c>
      <c r="D73" s="25">
        <v>5</v>
      </c>
      <c r="E73" s="25">
        <v>5</v>
      </c>
      <c r="F73" s="25">
        <v>4</v>
      </c>
      <c r="G73" s="25">
        <v>4</v>
      </c>
      <c r="H73" s="25">
        <v>2</v>
      </c>
      <c r="I73" s="25">
        <v>10</v>
      </c>
      <c r="J73" s="26" t="s">
        <v>205</v>
      </c>
      <c r="K73" s="26" t="s">
        <v>522</v>
      </c>
      <c r="L73" s="25" t="s">
        <v>515</v>
      </c>
      <c r="M73" s="27" t="str">
        <f t="shared" si="6"/>
        <v>Everyone else</v>
      </c>
      <c r="N73" s="27" t="str">
        <f t="shared" si="7"/>
        <v>Everyone else</v>
      </c>
      <c r="O73" s="27" t="str">
        <f t="shared" si="8"/>
        <v>Everyone else</v>
      </c>
      <c r="P73" s="27" t="str">
        <f t="shared" si="9"/>
        <v>Everyone else</v>
      </c>
      <c r="Q73" s="27" t="str">
        <f t="shared" si="10"/>
        <v>Everyone else</v>
      </c>
      <c r="R73" s="27" t="str">
        <f t="shared" si="11"/>
        <v>Everyone else</v>
      </c>
    </row>
    <row r="74" spans="1:18" ht="34.5" customHeight="1" x14ac:dyDescent="0.25">
      <c r="A74" s="25" t="s">
        <v>206</v>
      </c>
      <c r="B74" s="26" t="s">
        <v>77</v>
      </c>
      <c r="C74" s="25" t="s">
        <v>94</v>
      </c>
      <c r="D74" s="25">
        <v>3</v>
      </c>
      <c r="E74" s="25">
        <v>2</v>
      </c>
      <c r="F74" s="25">
        <v>3</v>
      </c>
      <c r="G74" s="25">
        <v>3</v>
      </c>
      <c r="H74" s="25">
        <v>3</v>
      </c>
      <c r="I74" s="25">
        <v>7</v>
      </c>
      <c r="J74" s="26" t="s">
        <v>207</v>
      </c>
      <c r="K74" s="26" t="s">
        <v>544</v>
      </c>
      <c r="L74" s="25" t="s">
        <v>519</v>
      </c>
      <c r="M74" s="27" t="str">
        <f t="shared" si="6"/>
        <v>Manager support Negative</v>
      </c>
      <c r="N74" s="27" t="str">
        <f t="shared" si="7"/>
        <v>Flexibility Negative</v>
      </c>
      <c r="O74" s="27" t="str">
        <f t="shared" si="8"/>
        <v>Everyone else</v>
      </c>
      <c r="P74" s="27" t="str">
        <f t="shared" si="9"/>
        <v>Everyone else</v>
      </c>
      <c r="Q74" s="27" t="str">
        <f t="shared" si="10"/>
        <v>Everyone else</v>
      </c>
      <c r="R74" s="27" t="str">
        <f t="shared" si="11"/>
        <v>Everyone else</v>
      </c>
    </row>
    <row r="75" spans="1:18" ht="15" customHeight="1" x14ac:dyDescent="0.25">
      <c r="A75" s="25" t="s">
        <v>208</v>
      </c>
      <c r="B75" s="26" t="s">
        <v>91</v>
      </c>
      <c r="C75" s="25" t="s">
        <v>85</v>
      </c>
      <c r="D75" s="25">
        <v>3</v>
      </c>
      <c r="E75" s="25">
        <v>4</v>
      </c>
      <c r="F75" s="25">
        <v>4</v>
      </c>
      <c r="G75" s="25">
        <v>3</v>
      </c>
      <c r="H75" s="25">
        <v>4</v>
      </c>
      <c r="I75" s="25">
        <v>10</v>
      </c>
      <c r="J75" s="26" t="s">
        <v>209</v>
      </c>
      <c r="K75" s="26" t="s">
        <v>521</v>
      </c>
      <c r="L75" s="25" t="s">
        <v>515</v>
      </c>
      <c r="M75" s="27" t="str">
        <f t="shared" si="6"/>
        <v>Everyone else</v>
      </c>
      <c r="N75" s="27" t="str">
        <f t="shared" si="7"/>
        <v>Everyone else</v>
      </c>
      <c r="O75" s="27" t="str">
        <f t="shared" si="8"/>
        <v>Everyone else</v>
      </c>
      <c r="P75" s="27" t="str">
        <f t="shared" si="9"/>
        <v>Everyone else</v>
      </c>
      <c r="Q75" s="27" t="str">
        <f t="shared" si="10"/>
        <v>Everyone else</v>
      </c>
      <c r="R75" s="27" t="str">
        <f t="shared" si="11"/>
        <v>Everyone else</v>
      </c>
    </row>
    <row r="76" spans="1:18" ht="23.25" customHeight="1" x14ac:dyDescent="0.25">
      <c r="A76" s="25" t="s">
        <v>210</v>
      </c>
      <c r="B76" s="26" t="s">
        <v>118</v>
      </c>
      <c r="C76" s="25" t="s">
        <v>94</v>
      </c>
      <c r="D76" s="25">
        <v>5</v>
      </c>
      <c r="E76" s="25">
        <v>5</v>
      </c>
      <c r="F76" s="25">
        <v>3</v>
      </c>
      <c r="G76" s="25">
        <v>5</v>
      </c>
      <c r="H76" s="25">
        <v>5</v>
      </c>
      <c r="I76" s="25">
        <v>4</v>
      </c>
      <c r="J76" s="26" t="s">
        <v>152</v>
      </c>
      <c r="K76" s="26" t="s">
        <v>537</v>
      </c>
      <c r="L76" s="25" t="s">
        <v>515</v>
      </c>
      <c r="M76" s="27" t="str">
        <f t="shared" si="6"/>
        <v>Everyone else</v>
      </c>
      <c r="N76" s="27" t="str">
        <f t="shared" si="7"/>
        <v>Everyone else</v>
      </c>
      <c r="O76" s="27" t="str">
        <f t="shared" si="8"/>
        <v>Everyone else</v>
      </c>
      <c r="P76" s="27" t="str">
        <f t="shared" si="9"/>
        <v>Everyone else</v>
      </c>
      <c r="Q76" s="27" t="str">
        <f t="shared" si="10"/>
        <v>Everyone else</v>
      </c>
      <c r="R76" s="27" t="str">
        <f t="shared" si="11"/>
        <v>Everyone else</v>
      </c>
    </row>
    <row r="77" spans="1:18" ht="23.25" customHeight="1" x14ac:dyDescent="0.25">
      <c r="A77" s="25" t="s">
        <v>211</v>
      </c>
      <c r="B77" s="26" t="s">
        <v>91</v>
      </c>
      <c r="C77" s="25" t="s">
        <v>94</v>
      </c>
      <c r="D77" s="25">
        <v>4</v>
      </c>
      <c r="E77" s="25">
        <v>4</v>
      </c>
      <c r="F77" s="25">
        <v>5</v>
      </c>
      <c r="G77" s="25">
        <v>5</v>
      </c>
      <c r="H77" s="25">
        <v>4</v>
      </c>
      <c r="I77" s="25">
        <v>10</v>
      </c>
      <c r="J77" s="26" t="s">
        <v>212</v>
      </c>
      <c r="K77" s="26" t="s">
        <v>545</v>
      </c>
      <c r="L77" s="25" t="s">
        <v>515</v>
      </c>
      <c r="M77" s="27" t="str">
        <f t="shared" si="6"/>
        <v>Everyone else</v>
      </c>
      <c r="N77" s="27" t="str">
        <f t="shared" si="7"/>
        <v>Everyone else</v>
      </c>
      <c r="O77" s="27" t="str">
        <f t="shared" si="8"/>
        <v>Everyone else</v>
      </c>
      <c r="P77" s="27" t="str">
        <f t="shared" si="9"/>
        <v>Everyone else</v>
      </c>
      <c r="Q77" s="27" t="str">
        <f t="shared" si="10"/>
        <v>Everyone else</v>
      </c>
      <c r="R77" s="27" t="str">
        <f t="shared" si="11"/>
        <v>Everyone else</v>
      </c>
    </row>
    <row r="78" spans="1:18" ht="34.5" customHeight="1" x14ac:dyDescent="0.25">
      <c r="A78" s="25" t="s">
        <v>213</v>
      </c>
      <c r="B78" s="26" t="s">
        <v>77</v>
      </c>
      <c r="C78" s="25" t="s">
        <v>74</v>
      </c>
      <c r="D78" s="25">
        <v>2</v>
      </c>
      <c r="E78" s="25">
        <v>2</v>
      </c>
      <c r="F78" s="25">
        <v>3</v>
      </c>
      <c r="G78" s="25">
        <v>3</v>
      </c>
      <c r="H78" s="25">
        <v>2</v>
      </c>
      <c r="I78" s="25">
        <v>6</v>
      </c>
      <c r="J78" s="26" t="s">
        <v>119</v>
      </c>
      <c r="K78" s="26" t="s">
        <v>528</v>
      </c>
      <c r="L78" s="25" t="s">
        <v>519</v>
      </c>
      <c r="M78" s="27" t="str">
        <f t="shared" si="6"/>
        <v>Everyone else</v>
      </c>
      <c r="N78" s="27" t="str">
        <f t="shared" si="7"/>
        <v>Everyone else</v>
      </c>
      <c r="O78" s="27" t="str">
        <f t="shared" si="8"/>
        <v>Everyone else</v>
      </c>
      <c r="P78" s="27" t="str">
        <f t="shared" si="9"/>
        <v>Tools and systems Negative</v>
      </c>
      <c r="Q78" s="27" t="str">
        <f t="shared" si="10"/>
        <v>Everyone else</v>
      </c>
      <c r="R78" s="27" t="str">
        <f t="shared" si="11"/>
        <v>Everyone else</v>
      </c>
    </row>
    <row r="79" spans="1:18" ht="34.5" customHeight="1" x14ac:dyDescent="0.25">
      <c r="A79" s="25" t="s">
        <v>214</v>
      </c>
      <c r="B79" s="26" t="s">
        <v>118</v>
      </c>
      <c r="C79" s="25" t="s">
        <v>85</v>
      </c>
      <c r="D79" s="25">
        <v>3</v>
      </c>
      <c r="E79" s="25">
        <v>3</v>
      </c>
      <c r="F79" s="25">
        <v>3</v>
      </c>
      <c r="G79" s="25">
        <v>3</v>
      </c>
      <c r="H79" s="25">
        <v>3</v>
      </c>
      <c r="I79" s="25">
        <v>4</v>
      </c>
      <c r="J79" s="26" t="s">
        <v>215</v>
      </c>
      <c r="K79" s="26" t="s">
        <v>546</v>
      </c>
      <c r="L79" s="25" t="s">
        <v>519</v>
      </c>
      <c r="M79" s="27" t="str">
        <f t="shared" si="6"/>
        <v>Everyone else</v>
      </c>
      <c r="N79" s="27" t="str">
        <f t="shared" si="7"/>
        <v>Everyone else</v>
      </c>
      <c r="O79" s="27" t="str">
        <f t="shared" si="8"/>
        <v>Everyone else</v>
      </c>
      <c r="P79" s="27" t="str">
        <f t="shared" si="9"/>
        <v>Tools and systems Negative</v>
      </c>
      <c r="Q79" s="27" t="str">
        <f t="shared" si="10"/>
        <v>Pay and benefits Negative</v>
      </c>
      <c r="R79" s="27" t="str">
        <f t="shared" si="11"/>
        <v>Everyone else</v>
      </c>
    </row>
    <row r="80" spans="1:18" ht="23.25" customHeight="1" x14ac:dyDescent="0.25">
      <c r="A80" s="25" t="s">
        <v>216</v>
      </c>
      <c r="B80" s="26" t="s">
        <v>73</v>
      </c>
      <c r="C80" s="25" t="s">
        <v>94</v>
      </c>
      <c r="D80" s="25">
        <v>3</v>
      </c>
      <c r="E80" s="25">
        <v>4</v>
      </c>
      <c r="F80" s="25">
        <v>2</v>
      </c>
      <c r="G80" s="25">
        <v>3</v>
      </c>
      <c r="H80" s="25">
        <v>1</v>
      </c>
      <c r="I80" s="25">
        <v>4</v>
      </c>
      <c r="J80" s="26" t="s">
        <v>141</v>
      </c>
      <c r="K80" s="26" t="s">
        <v>521</v>
      </c>
      <c r="L80" s="25" t="s">
        <v>519</v>
      </c>
      <c r="M80" s="27" t="str">
        <f t="shared" si="6"/>
        <v>Everyone else</v>
      </c>
      <c r="N80" s="27" t="str">
        <f t="shared" si="7"/>
        <v>Everyone else</v>
      </c>
      <c r="O80" s="27" t="str">
        <f t="shared" si="8"/>
        <v>Workload Negative</v>
      </c>
      <c r="P80" s="27" t="str">
        <f t="shared" si="9"/>
        <v>Everyone else</v>
      </c>
      <c r="Q80" s="27" t="str">
        <f t="shared" si="10"/>
        <v>Everyone else</v>
      </c>
      <c r="R80" s="27" t="str">
        <f t="shared" si="11"/>
        <v>Everyone else</v>
      </c>
    </row>
    <row r="81" spans="1:18" ht="34.5" customHeight="1" x14ac:dyDescent="0.25">
      <c r="A81" s="25" t="s">
        <v>217</v>
      </c>
      <c r="B81" s="26" t="s">
        <v>82</v>
      </c>
      <c r="C81" s="25" t="s">
        <v>85</v>
      </c>
      <c r="D81" s="25">
        <v>1</v>
      </c>
      <c r="E81" s="25">
        <v>3</v>
      </c>
      <c r="F81" s="25">
        <v>4</v>
      </c>
      <c r="G81" s="25">
        <v>3</v>
      </c>
      <c r="H81" s="25">
        <v>3</v>
      </c>
      <c r="I81" s="25">
        <v>6</v>
      </c>
      <c r="J81" s="26" t="s">
        <v>159</v>
      </c>
      <c r="K81" s="26" t="s">
        <v>514</v>
      </c>
      <c r="L81" s="25" t="s">
        <v>519</v>
      </c>
      <c r="M81" s="27" t="str">
        <f t="shared" si="6"/>
        <v>Manager support Negative</v>
      </c>
      <c r="N81" s="27" t="str">
        <f t="shared" si="7"/>
        <v>Everyone else</v>
      </c>
      <c r="O81" s="27" t="str">
        <f t="shared" si="8"/>
        <v>Everyone else</v>
      </c>
      <c r="P81" s="27" t="str">
        <f t="shared" si="9"/>
        <v>Everyone else</v>
      </c>
      <c r="Q81" s="27" t="str">
        <f t="shared" si="10"/>
        <v>Everyone else</v>
      </c>
      <c r="R81" s="27" t="str">
        <f t="shared" si="11"/>
        <v>Everyone else</v>
      </c>
    </row>
    <row r="82" spans="1:18" ht="34.5" customHeight="1" x14ac:dyDescent="0.25">
      <c r="A82" s="25" t="s">
        <v>218</v>
      </c>
      <c r="B82" s="26" t="s">
        <v>91</v>
      </c>
      <c r="C82" s="25" t="s">
        <v>85</v>
      </c>
      <c r="D82" s="25">
        <v>3</v>
      </c>
      <c r="E82" s="25">
        <v>3</v>
      </c>
      <c r="F82" s="25">
        <v>2</v>
      </c>
      <c r="G82" s="25">
        <v>3</v>
      </c>
      <c r="H82" s="25">
        <v>4</v>
      </c>
      <c r="I82" s="25">
        <v>6</v>
      </c>
      <c r="J82" s="26" t="s">
        <v>219</v>
      </c>
      <c r="K82" s="26" t="s">
        <v>547</v>
      </c>
      <c r="L82" s="25" t="s">
        <v>519</v>
      </c>
      <c r="M82" s="27" t="str">
        <f t="shared" si="6"/>
        <v>Everyone else</v>
      </c>
      <c r="N82" s="27" t="str">
        <f t="shared" si="7"/>
        <v>Flexibility Negative</v>
      </c>
      <c r="O82" s="27" t="str">
        <f t="shared" si="8"/>
        <v>Everyone else</v>
      </c>
      <c r="P82" s="27" t="str">
        <f t="shared" si="9"/>
        <v>Tools and systems Negative</v>
      </c>
      <c r="Q82" s="27" t="str">
        <f t="shared" si="10"/>
        <v>Everyone else</v>
      </c>
      <c r="R82" s="27" t="str">
        <f t="shared" si="11"/>
        <v>Everyone else</v>
      </c>
    </row>
    <row r="83" spans="1:18" ht="23.25" customHeight="1" x14ac:dyDescent="0.25">
      <c r="A83" s="25" t="s">
        <v>220</v>
      </c>
      <c r="B83" s="26" t="s">
        <v>108</v>
      </c>
      <c r="C83" s="25" t="s">
        <v>94</v>
      </c>
      <c r="D83" s="25">
        <v>3</v>
      </c>
      <c r="E83" s="25">
        <v>2</v>
      </c>
      <c r="F83" s="25">
        <v>3</v>
      </c>
      <c r="G83" s="25">
        <v>3</v>
      </c>
      <c r="H83" s="25">
        <v>3</v>
      </c>
      <c r="I83" s="25">
        <v>7</v>
      </c>
      <c r="J83" s="26" t="s">
        <v>92</v>
      </c>
      <c r="K83" s="26" t="s">
        <v>520</v>
      </c>
      <c r="L83" s="25" t="s">
        <v>519</v>
      </c>
      <c r="M83" s="27" t="str">
        <f t="shared" si="6"/>
        <v>Everyone else</v>
      </c>
      <c r="N83" s="27" t="str">
        <f t="shared" si="7"/>
        <v>Everyone else</v>
      </c>
      <c r="O83" s="27" t="str">
        <f t="shared" si="8"/>
        <v>Everyone else</v>
      </c>
      <c r="P83" s="27" t="str">
        <f t="shared" si="9"/>
        <v>Everyone else</v>
      </c>
      <c r="Q83" s="27" t="str">
        <f t="shared" si="10"/>
        <v>Everyone else</v>
      </c>
      <c r="R83" s="27" t="str">
        <f t="shared" si="11"/>
        <v>Career growth Negative</v>
      </c>
    </row>
    <row r="84" spans="1:18" ht="34.5" customHeight="1" x14ac:dyDescent="0.25">
      <c r="A84" s="25" t="s">
        <v>221</v>
      </c>
      <c r="B84" s="26" t="s">
        <v>118</v>
      </c>
      <c r="C84" s="25" t="s">
        <v>88</v>
      </c>
      <c r="D84" s="25">
        <v>2</v>
      </c>
      <c r="E84" s="25">
        <v>2</v>
      </c>
      <c r="F84" s="25">
        <v>3</v>
      </c>
      <c r="G84" s="25">
        <v>3</v>
      </c>
      <c r="H84" s="25">
        <v>2</v>
      </c>
      <c r="I84" s="25">
        <v>7</v>
      </c>
      <c r="J84" s="26" t="s">
        <v>222</v>
      </c>
      <c r="K84" s="26" t="s">
        <v>523</v>
      </c>
      <c r="L84" s="25" t="s">
        <v>519</v>
      </c>
      <c r="M84" s="27" t="str">
        <f t="shared" si="6"/>
        <v>Everyone else</v>
      </c>
      <c r="N84" s="27" t="str">
        <f t="shared" si="7"/>
        <v>Everyone else</v>
      </c>
      <c r="O84" s="27" t="str">
        <f t="shared" si="8"/>
        <v>Everyone else</v>
      </c>
      <c r="P84" s="27" t="str">
        <f t="shared" si="9"/>
        <v>Everyone else</v>
      </c>
      <c r="Q84" s="27" t="str">
        <f t="shared" si="10"/>
        <v>Pay and benefits Negative</v>
      </c>
      <c r="R84" s="27" t="str">
        <f t="shared" si="11"/>
        <v>Career growth Negative</v>
      </c>
    </row>
    <row r="85" spans="1:18" ht="23.25" customHeight="1" x14ac:dyDescent="0.25">
      <c r="A85" s="25" t="s">
        <v>223</v>
      </c>
      <c r="B85" s="26" t="s">
        <v>108</v>
      </c>
      <c r="C85" s="25" t="s">
        <v>94</v>
      </c>
      <c r="D85" s="25">
        <v>4</v>
      </c>
      <c r="E85" s="25">
        <v>5</v>
      </c>
      <c r="F85" s="25">
        <v>5</v>
      </c>
      <c r="G85" s="25">
        <v>3</v>
      </c>
      <c r="H85" s="25">
        <v>5</v>
      </c>
      <c r="I85" s="25">
        <v>8</v>
      </c>
      <c r="J85" s="26" t="s">
        <v>224</v>
      </c>
      <c r="K85" s="26" t="s">
        <v>548</v>
      </c>
      <c r="L85" s="25" t="s">
        <v>515</v>
      </c>
      <c r="M85" s="27" t="str">
        <f t="shared" si="6"/>
        <v>Everyone else</v>
      </c>
      <c r="N85" s="27" t="str">
        <f t="shared" si="7"/>
        <v>Everyone else</v>
      </c>
      <c r="O85" s="27" t="str">
        <f t="shared" si="8"/>
        <v>Everyone else</v>
      </c>
      <c r="P85" s="27" t="str">
        <f t="shared" si="9"/>
        <v>Everyone else</v>
      </c>
      <c r="Q85" s="27" t="str">
        <f t="shared" si="10"/>
        <v>Everyone else</v>
      </c>
      <c r="R85" s="27" t="str">
        <f t="shared" si="11"/>
        <v>Everyone else</v>
      </c>
    </row>
    <row r="86" spans="1:18" ht="15" customHeight="1" x14ac:dyDescent="0.25">
      <c r="A86" s="25" t="s">
        <v>225</v>
      </c>
      <c r="B86" s="26" t="s">
        <v>73</v>
      </c>
      <c r="C86" s="25" t="s">
        <v>85</v>
      </c>
      <c r="D86" s="25">
        <v>5</v>
      </c>
      <c r="E86" s="25">
        <v>3</v>
      </c>
      <c r="F86" s="25">
        <v>5</v>
      </c>
      <c r="G86" s="25">
        <v>5</v>
      </c>
      <c r="H86" s="25">
        <v>5</v>
      </c>
      <c r="I86" s="25">
        <v>9</v>
      </c>
      <c r="J86" s="26" t="s">
        <v>226</v>
      </c>
      <c r="K86" s="26" t="s">
        <v>526</v>
      </c>
      <c r="L86" s="25" t="s">
        <v>515</v>
      </c>
      <c r="M86" s="27" t="str">
        <f t="shared" si="6"/>
        <v>Everyone else</v>
      </c>
      <c r="N86" s="27" t="str">
        <f t="shared" si="7"/>
        <v>Everyone else</v>
      </c>
      <c r="O86" s="27" t="str">
        <f t="shared" si="8"/>
        <v>Everyone else</v>
      </c>
      <c r="P86" s="27" t="str">
        <f t="shared" si="9"/>
        <v>Everyone else</v>
      </c>
      <c r="Q86" s="27" t="str">
        <f t="shared" si="10"/>
        <v>Everyone else</v>
      </c>
      <c r="R86" s="27" t="str">
        <f t="shared" si="11"/>
        <v>Everyone else</v>
      </c>
    </row>
    <row r="87" spans="1:18" ht="15" customHeight="1" x14ac:dyDescent="0.25">
      <c r="A87" s="25" t="s">
        <v>227</v>
      </c>
      <c r="B87" s="26" t="s">
        <v>91</v>
      </c>
      <c r="C87" s="25" t="s">
        <v>88</v>
      </c>
      <c r="D87" s="25">
        <v>5</v>
      </c>
      <c r="E87" s="25">
        <v>3</v>
      </c>
      <c r="F87" s="25">
        <v>5</v>
      </c>
      <c r="G87" s="25">
        <v>5</v>
      </c>
      <c r="H87" s="25">
        <v>5</v>
      </c>
      <c r="I87" s="25">
        <v>5</v>
      </c>
      <c r="J87" s="26" t="s">
        <v>228</v>
      </c>
      <c r="K87" s="26" t="s">
        <v>543</v>
      </c>
      <c r="L87" s="25" t="s">
        <v>515</v>
      </c>
      <c r="M87" s="27" t="str">
        <f t="shared" si="6"/>
        <v>Everyone else</v>
      </c>
      <c r="N87" s="27" t="str">
        <f t="shared" si="7"/>
        <v>Everyone else</v>
      </c>
      <c r="O87" s="27" t="str">
        <f t="shared" si="8"/>
        <v>Everyone else</v>
      </c>
      <c r="P87" s="27" t="str">
        <f t="shared" si="9"/>
        <v>Everyone else</v>
      </c>
      <c r="Q87" s="27" t="str">
        <f t="shared" si="10"/>
        <v>Everyone else</v>
      </c>
      <c r="R87" s="27" t="str">
        <f t="shared" si="11"/>
        <v>Everyone else</v>
      </c>
    </row>
    <row r="88" spans="1:18" ht="34.5" customHeight="1" x14ac:dyDescent="0.25">
      <c r="A88" s="25" t="s">
        <v>229</v>
      </c>
      <c r="B88" s="26" t="s">
        <v>82</v>
      </c>
      <c r="C88" s="25" t="s">
        <v>94</v>
      </c>
      <c r="D88" s="25">
        <v>3</v>
      </c>
      <c r="E88" s="25">
        <v>4</v>
      </c>
      <c r="F88" s="25">
        <v>2</v>
      </c>
      <c r="G88" s="25">
        <v>2</v>
      </c>
      <c r="H88" s="25">
        <v>3</v>
      </c>
      <c r="I88" s="25">
        <v>7</v>
      </c>
      <c r="J88" s="26" t="s">
        <v>230</v>
      </c>
      <c r="K88" s="26" t="s">
        <v>535</v>
      </c>
      <c r="L88" s="25" t="s">
        <v>519</v>
      </c>
      <c r="M88" s="27" t="str">
        <f t="shared" si="6"/>
        <v>Everyone else</v>
      </c>
      <c r="N88" s="27" t="str">
        <f t="shared" si="7"/>
        <v>Everyone else</v>
      </c>
      <c r="O88" s="27" t="str">
        <f t="shared" si="8"/>
        <v>Everyone else</v>
      </c>
      <c r="P88" s="27" t="str">
        <f t="shared" si="9"/>
        <v>Tools and systems Negative</v>
      </c>
      <c r="Q88" s="27" t="str">
        <f t="shared" si="10"/>
        <v>Pay and benefits Negative</v>
      </c>
      <c r="R88" s="27" t="str">
        <f t="shared" si="11"/>
        <v>Everyone else</v>
      </c>
    </row>
    <row r="89" spans="1:18" ht="23.25" customHeight="1" x14ac:dyDescent="0.25">
      <c r="A89" s="25" t="s">
        <v>231</v>
      </c>
      <c r="B89" s="26" t="s">
        <v>82</v>
      </c>
      <c r="C89" s="25" t="s">
        <v>74</v>
      </c>
      <c r="D89" s="25">
        <v>3</v>
      </c>
      <c r="E89" s="25">
        <v>2</v>
      </c>
      <c r="F89" s="25">
        <v>4</v>
      </c>
      <c r="G89" s="25">
        <v>3</v>
      </c>
      <c r="H89" s="25">
        <v>3</v>
      </c>
      <c r="I89" s="25">
        <v>2</v>
      </c>
      <c r="J89" s="26" t="s">
        <v>232</v>
      </c>
      <c r="K89" s="26" t="s">
        <v>516</v>
      </c>
      <c r="L89" s="25" t="s">
        <v>519</v>
      </c>
      <c r="M89" s="27" t="str">
        <f t="shared" si="6"/>
        <v>Everyone else</v>
      </c>
      <c r="N89" s="27" t="str">
        <f t="shared" si="7"/>
        <v>Flexibility Negative</v>
      </c>
      <c r="O89" s="27" t="str">
        <f t="shared" si="8"/>
        <v>Everyone else</v>
      </c>
      <c r="P89" s="27" t="str">
        <f t="shared" si="9"/>
        <v>Everyone else</v>
      </c>
      <c r="Q89" s="27" t="str">
        <f t="shared" si="10"/>
        <v>Everyone else</v>
      </c>
      <c r="R89" s="27" t="str">
        <f t="shared" si="11"/>
        <v>Everyone else</v>
      </c>
    </row>
    <row r="90" spans="1:18" ht="15" customHeight="1" x14ac:dyDescent="0.25">
      <c r="A90" s="25" t="s">
        <v>233</v>
      </c>
      <c r="B90" s="26" t="s">
        <v>118</v>
      </c>
      <c r="C90" s="25" t="s">
        <v>94</v>
      </c>
      <c r="D90" s="25">
        <v>4</v>
      </c>
      <c r="E90" s="25">
        <v>4</v>
      </c>
      <c r="F90" s="25">
        <v>4</v>
      </c>
      <c r="G90" s="25">
        <v>4</v>
      </c>
      <c r="H90" s="25">
        <v>4</v>
      </c>
      <c r="I90" s="25">
        <v>10</v>
      </c>
      <c r="J90" s="26" t="s">
        <v>86</v>
      </c>
      <c r="K90" s="26" t="s">
        <v>520</v>
      </c>
      <c r="L90" s="25" t="s">
        <v>515</v>
      </c>
      <c r="M90" s="27" t="str">
        <f t="shared" si="6"/>
        <v>Everyone else</v>
      </c>
      <c r="N90" s="27" t="str">
        <f t="shared" si="7"/>
        <v>Everyone else</v>
      </c>
      <c r="O90" s="27" t="str">
        <f t="shared" si="8"/>
        <v>Everyone else</v>
      </c>
      <c r="P90" s="27" t="str">
        <f t="shared" si="9"/>
        <v>Everyone else</v>
      </c>
      <c r="Q90" s="27" t="str">
        <f t="shared" si="10"/>
        <v>Everyone else</v>
      </c>
      <c r="R90" s="27" t="str">
        <f t="shared" si="11"/>
        <v>Everyone else</v>
      </c>
    </row>
    <row r="91" spans="1:18" ht="23.25" customHeight="1" x14ac:dyDescent="0.25">
      <c r="A91" s="25" t="s">
        <v>234</v>
      </c>
      <c r="B91" s="26" t="s">
        <v>91</v>
      </c>
      <c r="C91" s="25" t="s">
        <v>74</v>
      </c>
      <c r="D91" s="25">
        <v>3</v>
      </c>
      <c r="E91" s="25">
        <v>3</v>
      </c>
      <c r="F91" s="25">
        <v>2</v>
      </c>
      <c r="G91" s="25">
        <v>3</v>
      </c>
      <c r="H91" s="25">
        <v>3</v>
      </c>
      <c r="I91" s="25">
        <v>4</v>
      </c>
      <c r="J91" s="26" t="s">
        <v>101</v>
      </c>
      <c r="K91" s="26" t="s">
        <v>516</v>
      </c>
      <c r="L91" s="25" t="s">
        <v>519</v>
      </c>
      <c r="M91" s="27" t="str">
        <f t="shared" si="6"/>
        <v>Everyone else</v>
      </c>
      <c r="N91" s="27" t="str">
        <f t="shared" si="7"/>
        <v>Flexibility Negative</v>
      </c>
      <c r="O91" s="27" t="str">
        <f t="shared" si="8"/>
        <v>Everyone else</v>
      </c>
      <c r="P91" s="27" t="str">
        <f t="shared" si="9"/>
        <v>Everyone else</v>
      </c>
      <c r="Q91" s="27" t="str">
        <f t="shared" si="10"/>
        <v>Everyone else</v>
      </c>
      <c r="R91" s="27" t="str">
        <f t="shared" si="11"/>
        <v>Everyone else</v>
      </c>
    </row>
    <row r="92" spans="1:18" ht="15" customHeight="1" x14ac:dyDescent="0.25">
      <c r="A92" s="25" t="s">
        <v>235</v>
      </c>
      <c r="B92" s="26" t="s">
        <v>73</v>
      </c>
      <c r="C92" s="25" t="s">
        <v>85</v>
      </c>
      <c r="D92" s="25">
        <v>3</v>
      </c>
      <c r="E92" s="25">
        <v>5</v>
      </c>
      <c r="F92" s="25">
        <v>5</v>
      </c>
      <c r="G92" s="25">
        <v>5</v>
      </c>
      <c r="H92" s="25">
        <v>4</v>
      </c>
      <c r="I92" s="25">
        <v>8</v>
      </c>
      <c r="J92" s="26" t="s">
        <v>192</v>
      </c>
      <c r="K92" s="26" t="s">
        <v>514</v>
      </c>
      <c r="L92" s="25" t="s">
        <v>515</v>
      </c>
      <c r="M92" s="27" t="str">
        <f t="shared" si="6"/>
        <v>Everyone else</v>
      </c>
      <c r="N92" s="27" t="str">
        <f t="shared" si="7"/>
        <v>Everyone else</v>
      </c>
      <c r="O92" s="27" t="str">
        <f t="shared" si="8"/>
        <v>Everyone else</v>
      </c>
      <c r="P92" s="27" t="str">
        <f t="shared" si="9"/>
        <v>Everyone else</v>
      </c>
      <c r="Q92" s="27" t="str">
        <f t="shared" si="10"/>
        <v>Everyone else</v>
      </c>
      <c r="R92" s="27" t="str">
        <f t="shared" si="11"/>
        <v>Everyone else</v>
      </c>
    </row>
    <row r="93" spans="1:18" ht="15" customHeight="1" x14ac:dyDescent="0.25">
      <c r="A93" s="25" t="s">
        <v>236</v>
      </c>
      <c r="B93" s="26" t="s">
        <v>73</v>
      </c>
      <c r="C93" s="25" t="s">
        <v>88</v>
      </c>
      <c r="D93" s="25">
        <v>3</v>
      </c>
      <c r="E93" s="25">
        <v>4</v>
      </c>
      <c r="F93" s="25">
        <v>5</v>
      </c>
      <c r="G93" s="25">
        <v>3</v>
      </c>
      <c r="H93" s="25">
        <v>2</v>
      </c>
      <c r="I93" s="25">
        <v>7</v>
      </c>
      <c r="J93" s="26" t="s">
        <v>226</v>
      </c>
      <c r="K93" s="26" t="s">
        <v>526</v>
      </c>
      <c r="L93" s="25" t="s">
        <v>515</v>
      </c>
      <c r="M93" s="27" t="str">
        <f t="shared" si="6"/>
        <v>Everyone else</v>
      </c>
      <c r="N93" s="27" t="str">
        <f t="shared" si="7"/>
        <v>Everyone else</v>
      </c>
      <c r="O93" s="27" t="str">
        <f t="shared" si="8"/>
        <v>Everyone else</v>
      </c>
      <c r="P93" s="27" t="str">
        <f t="shared" si="9"/>
        <v>Everyone else</v>
      </c>
      <c r="Q93" s="27" t="str">
        <f t="shared" si="10"/>
        <v>Everyone else</v>
      </c>
      <c r="R93" s="27" t="str">
        <f t="shared" si="11"/>
        <v>Everyone else</v>
      </c>
    </row>
    <row r="94" spans="1:18" ht="23.25" customHeight="1" x14ac:dyDescent="0.25">
      <c r="A94" s="25" t="s">
        <v>237</v>
      </c>
      <c r="B94" s="26" t="s">
        <v>77</v>
      </c>
      <c r="C94" s="25" t="s">
        <v>94</v>
      </c>
      <c r="D94" s="25">
        <v>5</v>
      </c>
      <c r="E94" s="25">
        <v>3</v>
      </c>
      <c r="F94" s="25">
        <v>2</v>
      </c>
      <c r="G94" s="25">
        <v>3</v>
      </c>
      <c r="H94" s="25">
        <v>4</v>
      </c>
      <c r="I94" s="25">
        <v>5</v>
      </c>
      <c r="J94" s="26" t="s">
        <v>78</v>
      </c>
      <c r="K94" s="26" t="s">
        <v>516</v>
      </c>
      <c r="L94" s="25" t="s">
        <v>515</v>
      </c>
      <c r="M94" s="27" t="str">
        <f t="shared" si="6"/>
        <v>Everyone else</v>
      </c>
      <c r="N94" s="27" t="str">
        <f t="shared" si="7"/>
        <v>Everyone else</v>
      </c>
      <c r="O94" s="27" t="str">
        <f t="shared" si="8"/>
        <v>Everyone else</v>
      </c>
      <c r="P94" s="27" t="str">
        <f t="shared" si="9"/>
        <v>Everyone else</v>
      </c>
      <c r="Q94" s="27" t="str">
        <f t="shared" si="10"/>
        <v>Everyone else</v>
      </c>
      <c r="R94" s="27" t="str">
        <f t="shared" si="11"/>
        <v>Everyone else</v>
      </c>
    </row>
    <row r="95" spans="1:18" ht="34.5" customHeight="1" x14ac:dyDescent="0.25">
      <c r="A95" s="25" t="s">
        <v>238</v>
      </c>
      <c r="B95" s="26" t="s">
        <v>73</v>
      </c>
      <c r="C95" s="25" t="s">
        <v>74</v>
      </c>
      <c r="D95" s="25">
        <v>3</v>
      </c>
      <c r="E95" s="25">
        <v>3</v>
      </c>
      <c r="F95" s="25">
        <v>4</v>
      </c>
      <c r="G95" s="25">
        <v>3</v>
      </c>
      <c r="H95" s="25">
        <v>3</v>
      </c>
      <c r="I95" s="25">
        <v>5</v>
      </c>
      <c r="J95" s="26" t="s">
        <v>239</v>
      </c>
      <c r="K95" s="26" t="s">
        <v>517</v>
      </c>
      <c r="L95" s="25" t="s">
        <v>519</v>
      </c>
      <c r="M95" s="27" t="str">
        <f t="shared" si="6"/>
        <v>Manager support Negative</v>
      </c>
      <c r="N95" s="27" t="str">
        <f t="shared" si="7"/>
        <v>Flexibility Negative</v>
      </c>
      <c r="O95" s="27" t="str">
        <f t="shared" si="8"/>
        <v>Everyone else</v>
      </c>
      <c r="P95" s="27" t="str">
        <f t="shared" si="9"/>
        <v>Everyone else</v>
      </c>
      <c r="Q95" s="27" t="str">
        <f t="shared" si="10"/>
        <v>Everyone else</v>
      </c>
      <c r="R95" s="27" t="str">
        <f t="shared" si="11"/>
        <v>Everyone else</v>
      </c>
    </row>
    <row r="96" spans="1:18" ht="23.25" customHeight="1" x14ac:dyDescent="0.25">
      <c r="A96" s="25" t="s">
        <v>240</v>
      </c>
      <c r="B96" s="26" t="s">
        <v>118</v>
      </c>
      <c r="C96" s="25" t="s">
        <v>88</v>
      </c>
      <c r="D96" s="25">
        <v>1</v>
      </c>
      <c r="E96" s="25">
        <v>2</v>
      </c>
      <c r="F96" s="25">
        <v>3</v>
      </c>
      <c r="G96" s="25">
        <v>2</v>
      </c>
      <c r="H96" s="25">
        <v>5</v>
      </c>
      <c r="I96" s="25">
        <v>6</v>
      </c>
      <c r="J96" s="26" t="s">
        <v>232</v>
      </c>
      <c r="K96" s="26" t="s">
        <v>516</v>
      </c>
      <c r="L96" s="25" t="s">
        <v>519</v>
      </c>
      <c r="M96" s="27" t="str">
        <f t="shared" si="6"/>
        <v>Everyone else</v>
      </c>
      <c r="N96" s="27" t="str">
        <f t="shared" si="7"/>
        <v>Flexibility Negative</v>
      </c>
      <c r="O96" s="27" t="str">
        <f t="shared" si="8"/>
        <v>Everyone else</v>
      </c>
      <c r="P96" s="27" t="str">
        <f t="shared" si="9"/>
        <v>Everyone else</v>
      </c>
      <c r="Q96" s="27" t="str">
        <f t="shared" si="10"/>
        <v>Everyone else</v>
      </c>
      <c r="R96" s="27" t="str">
        <f t="shared" si="11"/>
        <v>Everyone else</v>
      </c>
    </row>
    <row r="97" spans="1:18" ht="34.5" customHeight="1" x14ac:dyDescent="0.25">
      <c r="A97" s="25" t="s">
        <v>241</v>
      </c>
      <c r="B97" s="26" t="s">
        <v>82</v>
      </c>
      <c r="C97" s="25" t="s">
        <v>94</v>
      </c>
      <c r="D97" s="25">
        <v>2</v>
      </c>
      <c r="E97" s="25">
        <v>4</v>
      </c>
      <c r="F97" s="25">
        <v>2</v>
      </c>
      <c r="G97" s="25">
        <v>2</v>
      </c>
      <c r="H97" s="25">
        <v>1</v>
      </c>
      <c r="I97" s="25">
        <v>6</v>
      </c>
      <c r="J97" s="26" t="s">
        <v>119</v>
      </c>
      <c r="K97" s="26" t="s">
        <v>528</v>
      </c>
      <c r="L97" s="25" t="s">
        <v>519</v>
      </c>
      <c r="M97" s="27" t="str">
        <f t="shared" si="6"/>
        <v>Everyone else</v>
      </c>
      <c r="N97" s="27" t="str">
        <f t="shared" si="7"/>
        <v>Everyone else</v>
      </c>
      <c r="O97" s="27" t="str">
        <f t="shared" si="8"/>
        <v>Everyone else</v>
      </c>
      <c r="P97" s="27" t="str">
        <f t="shared" si="9"/>
        <v>Tools and systems Negative</v>
      </c>
      <c r="Q97" s="27" t="str">
        <f t="shared" si="10"/>
        <v>Everyone else</v>
      </c>
      <c r="R97" s="27" t="str">
        <f t="shared" si="11"/>
        <v>Everyone else</v>
      </c>
    </row>
    <row r="98" spans="1:18" ht="15" customHeight="1" x14ac:dyDescent="0.25">
      <c r="A98" s="25" t="s">
        <v>242</v>
      </c>
      <c r="B98" s="26" t="s">
        <v>108</v>
      </c>
      <c r="C98" s="25" t="s">
        <v>88</v>
      </c>
      <c r="D98" s="25">
        <v>3</v>
      </c>
      <c r="E98" s="25">
        <v>4</v>
      </c>
      <c r="F98" s="25">
        <v>4</v>
      </c>
      <c r="G98" s="25">
        <v>3</v>
      </c>
      <c r="H98" s="25">
        <v>5</v>
      </c>
      <c r="I98" s="25">
        <v>7</v>
      </c>
      <c r="J98" s="26" t="s">
        <v>86</v>
      </c>
      <c r="K98" s="26" t="s">
        <v>520</v>
      </c>
      <c r="L98" s="25" t="s">
        <v>515</v>
      </c>
      <c r="M98" s="27" t="str">
        <f t="shared" si="6"/>
        <v>Everyone else</v>
      </c>
      <c r="N98" s="27" t="str">
        <f t="shared" si="7"/>
        <v>Everyone else</v>
      </c>
      <c r="O98" s="27" t="str">
        <f t="shared" si="8"/>
        <v>Everyone else</v>
      </c>
      <c r="P98" s="27" t="str">
        <f t="shared" si="9"/>
        <v>Everyone else</v>
      </c>
      <c r="Q98" s="27" t="str">
        <f t="shared" si="10"/>
        <v>Everyone else</v>
      </c>
      <c r="R98" s="27" t="str">
        <f t="shared" si="11"/>
        <v>Everyone else</v>
      </c>
    </row>
    <row r="99" spans="1:18" ht="15" customHeight="1" x14ac:dyDescent="0.25">
      <c r="A99" s="25" t="s">
        <v>243</v>
      </c>
      <c r="B99" s="26" t="s">
        <v>73</v>
      </c>
      <c r="C99" s="25" t="s">
        <v>94</v>
      </c>
      <c r="D99" s="25">
        <v>3</v>
      </c>
      <c r="E99" s="25">
        <v>3</v>
      </c>
      <c r="F99" s="25">
        <v>4</v>
      </c>
      <c r="G99" s="25">
        <v>5</v>
      </c>
      <c r="H99" s="25">
        <v>4</v>
      </c>
      <c r="I99" s="25">
        <v>4</v>
      </c>
      <c r="J99" s="26" t="s">
        <v>172</v>
      </c>
      <c r="K99" s="26" t="s">
        <v>520</v>
      </c>
      <c r="L99" s="25" t="s">
        <v>515</v>
      </c>
      <c r="M99" s="27" t="str">
        <f t="shared" si="6"/>
        <v>Everyone else</v>
      </c>
      <c r="N99" s="27" t="str">
        <f t="shared" si="7"/>
        <v>Everyone else</v>
      </c>
      <c r="O99" s="27" t="str">
        <f t="shared" si="8"/>
        <v>Everyone else</v>
      </c>
      <c r="P99" s="27" t="str">
        <f t="shared" si="9"/>
        <v>Everyone else</v>
      </c>
      <c r="Q99" s="27" t="str">
        <f t="shared" si="10"/>
        <v>Everyone else</v>
      </c>
      <c r="R99" s="27" t="str">
        <f t="shared" si="11"/>
        <v>Everyone else</v>
      </c>
    </row>
    <row r="100" spans="1:18" ht="15" customHeight="1" x14ac:dyDescent="0.25">
      <c r="A100" s="25" t="s">
        <v>244</v>
      </c>
      <c r="B100" s="26" t="s">
        <v>91</v>
      </c>
      <c r="C100" s="25" t="s">
        <v>85</v>
      </c>
      <c r="D100" s="25">
        <v>3</v>
      </c>
      <c r="E100" s="25">
        <v>3</v>
      </c>
      <c r="F100" s="25">
        <v>3</v>
      </c>
      <c r="G100" s="25">
        <v>4</v>
      </c>
      <c r="H100" s="25">
        <v>5</v>
      </c>
      <c r="I100" s="25">
        <v>3</v>
      </c>
      <c r="J100" s="26" t="s">
        <v>125</v>
      </c>
      <c r="K100" s="26" t="s">
        <v>528</v>
      </c>
      <c r="L100" s="25" t="s">
        <v>515</v>
      </c>
      <c r="M100" s="27" t="str">
        <f t="shared" si="6"/>
        <v>Everyone else</v>
      </c>
      <c r="N100" s="27" t="str">
        <f t="shared" si="7"/>
        <v>Everyone else</v>
      </c>
      <c r="O100" s="27" t="str">
        <f t="shared" si="8"/>
        <v>Everyone else</v>
      </c>
      <c r="P100" s="27" t="str">
        <f t="shared" si="9"/>
        <v>Everyone else</v>
      </c>
      <c r="Q100" s="27" t="str">
        <f t="shared" si="10"/>
        <v>Everyone else</v>
      </c>
      <c r="R100" s="27" t="str">
        <f t="shared" si="11"/>
        <v>Everyone else</v>
      </c>
    </row>
    <row r="101" spans="1:18" ht="23.25" customHeight="1" x14ac:dyDescent="0.25">
      <c r="A101" s="25" t="s">
        <v>245</v>
      </c>
      <c r="B101" s="26" t="s">
        <v>77</v>
      </c>
      <c r="C101" s="25" t="s">
        <v>74</v>
      </c>
      <c r="D101" s="25">
        <v>3</v>
      </c>
      <c r="E101" s="25">
        <v>4</v>
      </c>
      <c r="F101" s="25">
        <v>4</v>
      </c>
      <c r="G101" s="25">
        <v>3</v>
      </c>
      <c r="H101" s="25">
        <v>4</v>
      </c>
      <c r="I101" s="25">
        <v>6</v>
      </c>
      <c r="J101" s="26" t="s">
        <v>246</v>
      </c>
      <c r="K101" s="26" t="s">
        <v>530</v>
      </c>
      <c r="L101" s="25" t="s">
        <v>515</v>
      </c>
      <c r="M101" s="27" t="str">
        <f t="shared" si="6"/>
        <v>Everyone else</v>
      </c>
      <c r="N101" s="27" t="str">
        <f t="shared" si="7"/>
        <v>Everyone else</v>
      </c>
      <c r="O101" s="27" t="str">
        <f t="shared" si="8"/>
        <v>Everyone else</v>
      </c>
      <c r="P101" s="27" t="str">
        <f t="shared" si="9"/>
        <v>Everyone else</v>
      </c>
      <c r="Q101" s="27" t="str">
        <f t="shared" si="10"/>
        <v>Everyone else</v>
      </c>
      <c r="R101" s="27" t="str">
        <f t="shared" si="11"/>
        <v>Everyone else</v>
      </c>
    </row>
    <row r="102" spans="1:18" ht="34.5" customHeight="1" x14ac:dyDescent="0.25">
      <c r="A102" s="25" t="s">
        <v>247</v>
      </c>
      <c r="B102" s="26" t="s">
        <v>108</v>
      </c>
      <c r="C102" s="25" t="s">
        <v>94</v>
      </c>
      <c r="D102" s="25">
        <v>3</v>
      </c>
      <c r="E102" s="25">
        <v>3</v>
      </c>
      <c r="F102" s="25">
        <v>3</v>
      </c>
      <c r="G102" s="25">
        <v>3</v>
      </c>
      <c r="H102" s="25">
        <v>2</v>
      </c>
      <c r="I102" s="25">
        <v>5</v>
      </c>
      <c r="J102" s="26" t="s">
        <v>201</v>
      </c>
      <c r="K102" s="26" t="s">
        <v>528</v>
      </c>
      <c r="L102" s="25" t="s">
        <v>519</v>
      </c>
      <c r="M102" s="27" t="str">
        <f t="shared" si="6"/>
        <v>Everyone else</v>
      </c>
      <c r="N102" s="27" t="str">
        <f t="shared" si="7"/>
        <v>Everyone else</v>
      </c>
      <c r="O102" s="27" t="str">
        <f t="shared" si="8"/>
        <v>Everyone else</v>
      </c>
      <c r="P102" s="27" t="str">
        <f t="shared" si="9"/>
        <v>Tools and systems Negative</v>
      </c>
      <c r="Q102" s="27" t="str">
        <f t="shared" si="10"/>
        <v>Everyone else</v>
      </c>
      <c r="R102" s="27" t="str">
        <f t="shared" si="11"/>
        <v>Everyone else</v>
      </c>
    </row>
    <row r="103" spans="1:18" ht="34.5" customHeight="1" x14ac:dyDescent="0.25">
      <c r="A103" s="25" t="s">
        <v>248</v>
      </c>
      <c r="B103" s="26" t="s">
        <v>82</v>
      </c>
      <c r="C103" s="25" t="s">
        <v>88</v>
      </c>
      <c r="D103" s="25">
        <v>3</v>
      </c>
      <c r="E103" s="25">
        <v>3</v>
      </c>
      <c r="F103" s="25">
        <v>3</v>
      </c>
      <c r="G103" s="25">
        <v>2</v>
      </c>
      <c r="H103" s="25">
        <v>3</v>
      </c>
      <c r="I103" s="25">
        <v>5</v>
      </c>
      <c r="J103" s="26" t="s">
        <v>119</v>
      </c>
      <c r="K103" s="26" t="s">
        <v>528</v>
      </c>
      <c r="L103" s="25" t="s">
        <v>519</v>
      </c>
      <c r="M103" s="27" t="str">
        <f t="shared" si="6"/>
        <v>Everyone else</v>
      </c>
      <c r="N103" s="27" t="str">
        <f t="shared" si="7"/>
        <v>Everyone else</v>
      </c>
      <c r="O103" s="27" t="str">
        <f t="shared" si="8"/>
        <v>Everyone else</v>
      </c>
      <c r="P103" s="27" t="str">
        <f t="shared" si="9"/>
        <v>Tools and systems Negative</v>
      </c>
      <c r="Q103" s="27" t="str">
        <f t="shared" si="10"/>
        <v>Everyone else</v>
      </c>
      <c r="R103" s="27" t="str">
        <f t="shared" si="11"/>
        <v>Everyone else</v>
      </c>
    </row>
    <row r="104" spans="1:18" ht="15" customHeight="1" x14ac:dyDescent="0.25">
      <c r="A104" s="25" t="s">
        <v>249</v>
      </c>
      <c r="B104" s="26" t="s">
        <v>82</v>
      </c>
      <c r="C104" s="25" t="s">
        <v>74</v>
      </c>
      <c r="D104" s="25">
        <v>5</v>
      </c>
      <c r="E104" s="25">
        <v>4</v>
      </c>
      <c r="F104" s="25">
        <v>3</v>
      </c>
      <c r="G104" s="25">
        <v>3</v>
      </c>
      <c r="H104" s="25">
        <v>4</v>
      </c>
      <c r="I104" s="25">
        <v>8</v>
      </c>
      <c r="J104" s="26" t="s">
        <v>121</v>
      </c>
      <c r="K104" s="26" t="s">
        <v>525</v>
      </c>
      <c r="L104" s="25" t="s">
        <v>515</v>
      </c>
      <c r="M104" s="27" t="str">
        <f t="shared" si="6"/>
        <v>Everyone else</v>
      </c>
      <c r="N104" s="27" t="str">
        <f t="shared" si="7"/>
        <v>Everyone else</v>
      </c>
      <c r="O104" s="27" t="str">
        <f t="shared" si="8"/>
        <v>Everyone else</v>
      </c>
      <c r="P104" s="27" t="str">
        <f t="shared" si="9"/>
        <v>Everyone else</v>
      </c>
      <c r="Q104" s="27" t="str">
        <f t="shared" si="10"/>
        <v>Everyone else</v>
      </c>
      <c r="R104" s="27" t="str">
        <f t="shared" si="11"/>
        <v>Everyone else</v>
      </c>
    </row>
    <row r="105" spans="1:18" ht="23.25" customHeight="1" x14ac:dyDescent="0.25">
      <c r="A105" s="25" t="s">
        <v>250</v>
      </c>
      <c r="B105" s="26" t="s">
        <v>118</v>
      </c>
      <c r="C105" s="25" t="s">
        <v>85</v>
      </c>
      <c r="D105" s="25">
        <v>3</v>
      </c>
      <c r="E105" s="25">
        <v>3</v>
      </c>
      <c r="F105" s="25">
        <v>3</v>
      </c>
      <c r="G105" s="25">
        <v>2</v>
      </c>
      <c r="H105" s="25">
        <v>3</v>
      </c>
      <c r="I105" s="25">
        <v>5</v>
      </c>
      <c r="J105" s="26" t="s">
        <v>251</v>
      </c>
      <c r="K105" s="26" t="s">
        <v>532</v>
      </c>
      <c r="L105" s="25" t="s">
        <v>519</v>
      </c>
      <c r="M105" s="27" t="str">
        <f t="shared" si="6"/>
        <v>Everyone else</v>
      </c>
      <c r="N105" s="27" t="str">
        <f t="shared" si="7"/>
        <v>Flexibility Negative</v>
      </c>
      <c r="O105" s="27" t="str">
        <f t="shared" si="8"/>
        <v>Workload Negative</v>
      </c>
      <c r="P105" s="27" t="str">
        <f t="shared" si="9"/>
        <v>Everyone else</v>
      </c>
      <c r="Q105" s="27" t="str">
        <f t="shared" si="10"/>
        <v>Everyone else</v>
      </c>
      <c r="R105" s="27" t="str">
        <f t="shared" si="11"/>
        <v>Everyone else</v>
      </c>
    </row>
    <row r="106" spans="1:18" ht="34.5" customHeight="1" x14ac:dyDescent="0.25">
      <c r="A106" s="25" t="s">
        <v>252</v>
      </c>
      <c r="B106" s="26" t="s">
        <v>91</v>
      </c>
      <c r="C106" s="25" t="s">
        <v>74</v>
      </c>
      <c r="D106" s="25">
        <v>2</v>
      </c>
      <c r="E106" s="25">
        <v>3</v>
      </c>
      <c r="F106" s="25">
        <v>2</v>
      </c>
      <c r="G106" s="25">
        <v>3</v>
      </c>
      <c r="H106" s="25">
        <v>4</v>
      </c>
      <c r="I106" s="25">
        <v>4</v>
      </c>
      <c r="J106" s="26" t="s">
        <v>253</v>
      </c>
      <c r="K106" s="26" t="s">
        <v>543</v>
      </c>
      <c r="L106" s="25" t="s">
        <v>519</v>
      </c>
      <c r="M106" s="27" t="str">
        <f t="shared" si="6"/>
        <v>Everyone else</v>
      </c>
      <c r="N106" s="27" t="str">
        <f t="shared" si="7"/>
        <v>Everyone else</v>
      </c>
      <c r="O106" s="27" t="str">
        <f t="shared" si="8"/>
        <v>Workload Negative</v>
      </c>
      <c r="P106" s="27" t="str">
        <f t="shared" si="9"/>
        <v>Everyone else</v>
      </c>
      <c r="Q106" s="27" t="str">
        <f t="shared" si="10"/>
        <v>Pay and benefits Negative</v>
      </c>
      <c r="R106" s="27" t="str">
        <f t="shared" si="11"/>
        <v>Everyone else</v>
      </c>
    </row>
    <row r="107" spans="1:18" ht="34.5" customHeight="1" x14ac:dyDescent="0.25">
      <c r="A107" s="25" t="s">
        <v>254</v>
      </c>
      <c r="B107" s="26" t="s">
        <v>91</v>
      </c>
      <c r="C107" s="25" t="s">
        <v>94</v>
      </c>
      <c r="D107" s="25">
        <v>4</v>
      </c>
      <c r="E107" s="25">
        <v>5</v>
      </c>
      <c r="F107" s="25">
        <v>3</v>
      </c>
      <c r="G107" s="25">
        <v>2</v>
      </c>
      <c r="H107" s="25">
        <v>3</v>
      </c>
      <c r="I107" s="25">
        <v>5</v>
      </c>
      <c r="J107" s="26" t="s">
        <v>255</v>
      </c>
      <c r="K107" s="26" t="s">
        <v>522</v>
      </c>
      <c r="L107" s="25" t="s">
        <v>519</v>
      </c>
      <c r="M107" s="27" t="str">
        <f t="shared" si="6"/>
        <v>Manager support Negative</v>
      </c>
      <c r="N107" s="27" t="str">
        <f t="shared" si="7"/>
        <v>Everyone else</v>
      </c>
      <c r="O107" s="27" t="str">
        <f t="shared" si="8"/>
        <v>Everyone else</v>
      </c>
      <c r="P107" s="27" t="str">
        <f t="shared" si="9"/>
        <v>Everyone else</v>
      </c>
      <c r="Q107" s="27" t="str">
        <f t="shared" si="10"/>
        <v>Pay and benefits Negative</v>
      </c>
      <c r="R107" s="27" t="str">
        <f t="shared" si="11"/>
        <v>Everyone else</v>
      </c>
    </row>
    <row r="108" spans="1:18" ht="23.25" customHeight="1" x14ac:dyDescent="0.25">
      <c r="A108" s="25" t="s">
        <v>256</v>
      </c>
      <c r="B108" s="26" t="s">
        <v>91</v>
      </c>
      <c r="C108" s="25" t="s">
        <v>85</v>
      </c>
      <c r="D108" s="25">
        <v>4</v>
      </c>
      <c r="E108" s="25">
        <v>3</v>
      </c>
      <c r="F108" s="25">
        <v>2</v>
      </c>
      <c r="G108" s="25">
        <v>4</v>
      </c>
      <c r="H108" s="25">
        <v>3</v>
      </c>
      <c r="I108" s="25">
        <v>6</v>
      </c>
      <c r="J108" s="26" t="s">
        <v>205</v>
      </c>
      <c r="K108" s="26" t="s">
        <v>522</v>
      </c>
      <c r="L108" s="25" t="s">
        <v>515</v>
      </c>
      <c r="M108" s="27" t="str">
        <f t="shared" si="6"/>
        <v>Everyone else</v>
      </c>
      <c r="N108" s="27" t="str">
        <f t="shared" si="7"/>
        <v>Everyone else</v>
      </c>
      <c r="O108" s="27" t="str">
        <f t="shared" si="8"/>
        <v>Everyone else</v>
      </c>
      <c r="P108" s="27" t="str">
        <f t="shared" si="9"/>
        <v>Everyone else</v>
      </c>
      <c r="Q108" s="27" t="str">
        <f t="shared" si="10"/>
        <v>Everyone else</v>
      </c>
      <c r="R108" s="27" t="str">
        <f t="shared" si="11"/>
        <v>Everyone else</v>
      </c>
    </row>
    <row r="109" spans="1:18" ht="34.5" customHeight="1" x14ac:dyDescent="0.25">
      <c r="A109" s="25" t="s">
        <v>257</v>
      </c>
      <c r="B109" s="26" t="s">
        <v>108</v>
      </c>
      <c r="C109" s="25" t="s">
        <v>85</v>
      </c>
      <c r="D109" s="25">
        <v>2</v>
      </c>
      <c r="E109" s="25">
        <v>3</v>
      </c>
      <c r="F109" s="25">
        <v>2</v>
      </c>
      <c r="G109" s="25">
        <v>4</v>
      </c>
      <c r="H109" s="25">
        <v>3</v>
      </c>
      <c r="I109" s="25">
        <v>6</v>
      </c>
      <c r="J109" s="26" t="s">
        <v>258</v>
      </c>
      <c r="K109" s="26" t="s">
        <v>525</v>
      </c>
      <c r="L109" s="25" t="s">
        <v>519</v>
      </c>
      <c r="M109" s="27" t="str">
        <f t="shared" si="6"/>
        <v>Everyone else</v>
      </c>
      <c r="N109" s="27" t="str">
        <f t="shared" si="7"/>
        <v>Everyone else</v>
      </c>
      <c r="O109" s="27" t="str">
        <f t="shared" si="8"/>
        <v>Everyone else</v>
      </c>
      <c r="P109" s="27" t="str">
        <f t="shared" si="9"/>
        <v>Everyone else</v>
      </c>
      <c r="Q109" s="27" t="str">
        <f t="shared" si="10"/>
        <v>Pay and benefits Negative</v>
      </c>
      <c r="R109" s="27" t="str">
        <f t="shared" si="11"/>
        <v>Everyone else</v>
      </c>
    </row>
    <row r="110" spans="1:18" ht="23.25" customHeight="1" x14ac:dyDescent="0.25">
      <c r="A110" s="25" t="s">
        <v>259</v>
      </c>
      <c r="B110" s="26" t="s">
        <v>91</v>
      </c>
      <c r="C110" s="25" t="s">
        <v>74</v>
      </c>
      <c r="D110" s="25">
        <v>2</v>
      </c>
      <c r="E110" s="25">
        <v>2</v>
      </c>
      <c r="F110" s="25">
        <v>1</v>
      </c>
      <c r="G110" s="25">
        <v>3</v>
      </c>
      <c r="H110" s="25">
        <v>3</v>
      </c>
      <c r="I110" s="25">
        <v>5</v>
      </c>
      <c r="J110" s="26" t="s">
        <v>89</v>
      </c>
      <c r="K110" s="26" t="s">
        <v>521</v>
      </c>
      <c r="L110" s="25" t="s">
        <v>519</v>
      </c>
      <c r="M110" s="27" t="str">
        <f t="shared" si="6"/>
        <v>Everyone else</v>
      </c>
      <c r="N110" s="27" t="str">
        <f t="shared" si="7"/>
        <v>Everyone else</v>
      </c>
      <c r="O110" s="27" t="str">
        <f t="shared" si="8"/>
        <v>Workload Negative</v>
      </c>
      <c r="P110" s="27" t="str">
        <f t="shared" si="9"/>
        <v>Everyone else</v>
      </c>
      <c r="Q110" s="27" t="str">
        <f t="shared" si="10"/>
        <v>Everyone else</v>
      </c>
      <c r="R110" s="27" t="str">
        <f t="shared" si="11"/>
        <v>Everyone else</v>
      </c>
    </row>
    <row r="111" spans="1:18" ht="15" customHeight="1" x14ac:dyDescent="0.25">
      <c r="A111" s="25" t="s">
        <v>260</v>
      </c>
      <c r="B111" s="26" t="s">
        <v>73</v>
      </c>
      <c r="C111" s="25" t="s">
        <v>85</v>
      </c>
      <c r="D111" s="25">
        <v>4</v>
      </c>
      <c r="E111" s="25">
        <v>4</v>
      </c>
      <c r="F111" s="25">
        <v>3</v>
      </c>
      <c r="G111" s="25">
        <v>5</v>
      </c>
      <c r="H111" s="25">
        <v>4</v>
      </c>
      <c r="I111" s="25">
        <v>9</v>
      </c>
      <c r="J111" s="26" t="s">
        <v>261</v>
      </c>
      <c r="K111" s="26" t="s">
        <v>521</v>
      </c>
      <c r="L111" s="25" t="s">
        <v>515</v>
      </c>
      <c r="M111" s="27" t="str">
        <f t="shared" si="6"/>
        <v>Everyone else</v>
      </c>
      <c r="N111" s="27" t="str">
        <f t="shared" si="7"/>
        <v>Everyone else</v>
      </c>
      <c r="O111" s="27" t="str">
        <f t="shared" si="8"/>
        <v>Everyone else</v>
      </c>
      <c r="P111" s="27" t="str">
        <f t="shared" si="9"/>
        <v>Everyone else</v>
      </c>
      <c r="Q111" s="27" t="str">
        <f t="shared" si="10"/>
        <v>Everyone else</v>
      </c>
      <c r="R111" s="27" t="str">
        <f t="shared" si="11"/>
        <v>Everyone else</v>
      </c>
    </row>
    <row r="112" spans="1:18" ht="23.25" customHeight="1" x14ac:dyDescent="0.25">
      <c r="A112" s="25" t="s">
        <v>262</v>
      </c>
      <c r="B112" s="26" t="s">
        <v>77</v>
      </c>
      <c r="C112" s="25" t="s">
        <v>88</v>
      </c>
      <c r="D112" s="25">
        <v>4</v>
      </c>
      <c r="E112" s="25">
        <v>4</v>
      </c>
      <c r="F112" s="25">
        <v>5</v>
      </c>
      <c r="G112" s="25">
        <v>4</v>
      </c>
      <c r="H112" s="25">
        <v>4</v>
      </c>
      <c r="I112" s="25">
        <v>10</v>
      </c>
      <c r="J112" s="26" t="s">
        <v>263</v>
      </c>
      <c r="K112" s="26" t="s">
        <v>538</v>
      </c>
      <c r="L112" s="25" t="s">
        <v>515</v>
      </c>
      <c r="M112" s="27" t="str">
        <f t="shared" si="6"/>
        <v>Everyone else</v>
      </c>
      <c r="N112" s="27" t="str">
        <f t="shared" si="7"/>
        <v>Everyone else</v>
      </c>
      <c r="O112" s="27" t="str">
        <f t="shared" si="8"/>
        <v>Everyone else</v>
      </c>
      <c r="P112" s="27" t="str">
        <f t="shared" si="9"/>
        <v>Everyone else</v>
      </c>
      <c r="Q112" s="27" t="str">
        <f t="shared" si="10"/>
        <v>Everyone else</v>
      </c>
      <c r="R112" s="27" t="str">
        <f t="shared" si="11"/>
        <v>Everyone else</v>
      </c>
    </row>
    <row r="113" spans="1:18" ht="23.25" customHeight="1" x14ac:dyDescent="0.25">
      <c r="A113" s="25" t="s">
        <v>264</v>
      </c>
      <c r="B113" s="26" t="s">
        <v>118</v>
      </c>
      <c r="C113" s="25" t="s">
        <v>85</v>
      </c>
      <c r="D113" s="25">
        <v>5</v>
      </c>
      <c r="E113" s="25">
        <v>3</v>
      </c>
      <c r="F113" s="25">
        <v>3</v>
      </c>
      <c r="G113" s="25">
        <v>3</v>
      </c>
      <c r="H113" s="25">
        <v>5</v>
      </c>
      <c r="I113" s="25">
        <v>8</v>
      </c>
      <c r="J113" s="26" t="s">
        <v>265</v>
      </c>
      <c r="K113" s="26" t="s">
        <v>529</v>
      </c>
      <c r="L113" s="25" t="s">
        <v>515</v>
      </c>
      <c r="M113" s="27" t="str">
        <f t="shared" si="6"/>
        <v>Everyone else</v>
      </c>
      <c r="N113" s="27" t="str">
        <f t="shared" si="7"/>
        <v>Everyone else</v>
      </c>
      <c r="O113" s="27" t="str">
        <f t="shared" si="8"/>
        <v>Everyone else</v>
      </c>
      <c r="P113" s="27" t="str">
        <f t="shared" si="9"/>
        <v>Everyone else</v>
      </c>
      <c r="Q113" s="27" t="str">
        <f t="shared" si="10"/>
        <v>Everyone else</v>
      </c>
      <c r="R113" s="27" t="str">
        <f t="shared" si="11"/>
        <v>Everyone else</v>
      </c>
    </row>
    <row r="114" spans="1:18" ht="34.5" customHeight="1" x14ac:dyDescent="0.25">
      <c r="A114" s="25" t="s">
        <v>266</v>
      </c>
      <c r="B114" s="26" t="s">
        <v>108</v>
      </c>
      <c r="C114" s="25" t="s">
        <v>88</v>
      </c>
      <c r="D114" s="25">
        <v>4</v>
      </c>
      <c r="E114" s="25">
        <v>3</v>
      </c>
      <c r="F114" s="25">
        <v>3</v>
      </c>
      <c r="G114" s="25">
        <v>2</v>
      </c>
      <c r="H114" s="25">
        <v>2</v>
      </c>
      <c r="I114" s="25">
        <v>3</v>
      </c>
      <c r="J114" s="26" t="s">
        <v>267</v>
      </c>
      <c r="K114" s="26" t="s">
        <v>549</v>
      </c>
      <c r="L114" s="25" t="s">
        <v>519</v>
      </c>
      <c r="M114" s="27" t="str">
        <f t="shared" si="6"/>
        <v>Manager support Negative</v>
      </c>
      <c r="N114" s="27" t="str">
        <f t="shared" si="7"/>
        <v>Everyone else</v>
      </c>
      <c r="O114" s="27" t="str">
        <f t="shared" si="8"/>
        <v>Everyone else</v>
      </c>
      <c r="P114" s="27" t="str">
        <f t="shared" si="9"/>
        <v>Everyone else</v>
      </c>
      <c r="Q114" s="27" t="str">
        <f t="shared" si="10"/>
        <v>Everyone else</v>
      </c>
      <c r="R114" s="27" t="str">
        <f t="shared" si="11"/>
        <v>Career growth Negative</v>
      </c>
    </row>
    <row r="115" spans="1:18" ht="23.25" customHeight="1" x14ac:dyDescent="0.25">
      <c r="A115" s="25" t="s">
        <v>268</v>
      </c>
      <c r="B115" s="26" t="s">
        <v>91</v>
      </c>
      <c r="C115" s="25" t="s">
        <v>85</v>
      </c>
      <c r="D115" s="25">
        <v>2</v>
      </c>
      <c r="E115" s="25">
        <v>3</v>
      </c>
      <c r="F115" s="25">
        <v>2</v>
      </c>
      <c r="G115" s="25">
        <v>4</v>
      </c>
      <c r="H115" s="25">
        <v>3</v>
      </c>
      <c r="I115" s="25">
        <v>7</v>
      </c>
      <c r="J115" s="26" t="s">
        <v>232</v>
      </c>
      <c r="K115" s="26" t="s">
        <v>516</v>
      </c>
      <c r="L115" s="25" t="s">
        <v>519</v>
      </c>
      <c r="M115" s="27" t="str">
        <f t="shared" si="6"/>
        <v>Everyone else</v>
      </c>
      <c r="N115" s="27" t="str">
        <f t="shared" si="7"/>
        <v>Flexibility Negative</v>
      </c>
      <c r="O115" s="27" t="str">
        <f t="shared" si="8"/>
        <v>Everyone else</v>
      </c>
      <c r="P115" s="27" t="str">
        <f t="shared" si="9"/>
        <v>Everyone else</v>
      </c>
      <c r="Q115" s="27" t="str">
        <f t="shared" si="10"/>
        <v>Everyone else</v>
      </c>
      <c r="R115" s="27" t="str">
        <f t="shared" si="11"/>
        <v>Everyone else</v>
      </c>
    </row>
    <row r="116" spans="1:18" ht="34.5" customHeight="1" x14ac:dyDescent="0.25">
      <c r="A116" s="25" t="s">
        <v>269</v>
      </c>
      <c r="B116" s="26" t="s">
        <v>73</v>
      </c>
      <c r="C116" s="25" t="s">
        <v>74</v>
      </c>
      <c r="D116" s="25">
        <v>2</v>
      </c>
      <c r="E116" s="25">
        <v>3</v>
      </c>
      <c r="F116" s="25">
        <v>3</v>
      </c>
      <c r="G116" s="25">
        <v>3</v>
      </c>
      <c r="H116" s="25">
        <v>2</v>
      </c>
      <c r="I116" s="25">
        <v>4</v>
      </c>
      <c r="J116" s="26" t="s">
        <v>270</v>
      </c>
      <c r="K116" s="26" t="s">
        <v>544</v>
      </c>
      <c r="L116" s="25" t="s">
        <v>519</v>
      </c>
      <c r="M116" s="27" t="str">
        <f t="shared" si="6"/>
        <v>Manager support Negative</v>
      </c>
      <c r="N116" s="27" t="str">
        <f t="shared" si="7"/>
        <v>Flexibility Negative</v>
      </c>
      <c r="O116" s="27" t="str">
        <f t="shared" si="8"/>
        <v>Everyone else</v>
      </c>
      <c r="P116" s="27" t="str">
        <f t="shared" si="9"/>
        <v>Everyone else</v>
      </c>
      <c r="Q116" s="27" t="str">
        <f t="shared" si="10"/>
        <v>Everyone else</v>
      </c>
      <c r="R116" s="27" t="str">
        <f t="shared" si="11"/>
        <v>Everyone else</v>
      </c>
    </row>
    <row r="117" spans="1:18" ht="34.5" customHeight="1" x14ac:dyDescent="0.25">
      <c r="A117" s="25" t="s">
        <v>271</v>
      </c>
      <c r="B117" s="26" t="s">
        <v>108</v>
      </c>
      <c r="C117" s="25" t="s">
        <v>74</v>
      </c>
      <c r="D117" s="25">
        <v>3</v>
      </c>
      <c r="E117" s="25">
        <v>3</v>
      </c>
      <c r="F117" s="25">
        <v>3</v>
      </c>
      <c r="G117" s="25">
        <v>3</v>
      </c>
      <c r="H117" s="25">
        <v>2</v>
      </c>
      <c r="I117" s="25">
        <v>4</v>
      </c>
      <c r="J117" s="26" t="s">
        <v>201</v>
      </c>
      <c r="K117" s="26" t="s">
        <v>528</v>
      </c>
      <c r="L117" s="25" t="s">
        <v>519</v>
      </c>
      <c r="M117" s="27" t="str">
        <f t="shared" si="6"/>
        <v>Everyone else</v>
      </c>
      <c r="N117" s="27" t="str">
        <f t="shared" si="7"/>
        <v>Everyone else</v>
      </c>
      <c r="O117" s="27" t="str">
        <f t="shared" si="8"/>
        <v>Everyone else</v>
      </c>
      <c r="P117" s="27" t="str">
        <f t="shared" si="9"/>
        <v>Tools and systems Negative</v>
      </c>
      <c r="Q117" s="27" t="str">
        <f t="shared" si="10"/>
        <v>Everyone else</v>
      </c>
      <c r="R117" s="27" t="str">
        <f t="shared" si="11"/>
        <v>Everyone else</v>
      </c>
    </row>
    <row r="118" spans="1:18" ht="34.5" customHeight="1" x14ac:dyDescent="0.25">
      <c r="A118" s="25" t="s">
        <v>272</v>
      </c>
      <c r="B118" s="26" t="s">
        <v>82</v>
      </c>
      <c r="C118" s="25" t="s">
        <v>85</v>
      </c>
      <c r="D118" s="25">
        <v>2</v>
      </c>
      <c r="E118" s="25">
        <v>3</v>
      </c>
      <c r="F118" s="25">
        <v>3</v>
      </c>
      <c r="G118" s="25">
        <v>2</v>
      </c>
      <c r="H118" s="25">
        <v>4</v>
      </c>
      <c r="I118" s="25">
        <v>4</v>
      </c>
      <c r="J118" s="26" t="s">
        <v>273</v>
      </c>
      <c r="K118" s="26" t="s">
        <v>550</v>
      </c>
      <c r="L118" s="25" t="s">
        <v>519</v>
      </c>
      <c r="M118" s="27" t="str">
        <f t="shared" si="6"/>
        <v>Manager support Negative</v>
      </c>
      <c r="N118" s="27" t="str">
        <f t="shared" si="7"/>
        <v>Everyone else</v>
      </c>
      <c r="O118" s="27" t="str">
        <f t="shared" si="8"/>
        <v>Workload Negative</v>
      </c>
      <c r="P118" s="27" t="str">
        <f t="shared" si="9"/>
        <v>Everyone else</v>
      </c>
      <c r="Q118" s="27" t="str">
        <f t="shared" si="10"/>
        <v>Everyone else</v>
      </c>
      <c r="R118" s="27" t="str">
        <f t="shared" si="11"/>
        <v>Everyone else</v>
      </c>
    </row>
    <row r="119" spans="1:18" ht="15" customHeight="1" x14ac:dyDescent="0.25">
      <c r="A119" s="25" t="s">
        <v>274</v>
      </c>
      <c r="B119" s="26" t="s">
        <v>82</v>
      </c>
      <c r="C119" s="25" t="s">
        <v>85</v>
      </c>
      <c r="D119" s="25">
        <v>4</v>
      </c>
      <c r="E119" s="25">
        <v>5</v>
      </c>
      <c r="F119" s="25">
        <v>3</v>
      </c>
      <c r="G119" s="25">
        <v>5</v>
      </c>
      <c r="H119" s="25">
        <v>3</v>
      </c>
      <c r="I119" s="25">
        <v>9</v>
      </c>
      <c r="J119" s="26" t="s">
        <v>86</v>
      </c>
      <c r="K119" s="26" t="s">
        <v>520</v>
      </c>
      <c r="L119" s="25" t="s">
        <v>515</v>
      </c>
      <c r="M119" s="27" t="str">
        <f t="shared" si="6"/>
        <v>Everyone else</v>
      </c>
      <c r="N119" s="27" t="str">
        <f t="shared" si="7"/>
        <v>Everyone else</v>
      </c>
      <c r="O119" s="27" t="str">
        <f t="shared" si="8"/>
        <v>Everyone else</v>
      </c>
      <c r="P119" s="27" t="str">
        <f t="shared" si="9"/>
        <v>Everyone else</v>
      </c>
      <c r="Q119" s="27" t="str">
        <f t="shared" si="10"/>
        <v>Everyone else</v>
      </c>
      <c r="R119" s="27" t="str">
        <f t="shared" si="11"/>
        <v>Everyone else</v>
      </c>
    </row>
    <row r="120" spans="1:18" ht="23.25" customHeight="1" x14ac:dyDescent="0.25">
      <c r="A120" s="25" t="s">
        <v>275</v>
      </c>
      <c r="B120" s="26" t="s">
        <v>73</v>
      </c>
      <c r="C120" s="25" t="s">
        <v>88</v>
      </c>
      <c r="D120" s="25">
        <v>3</v>
      </c>
      <c r="E120" s="25">
        <v>4</v>
      </c>
      <c r="F120" s="25">
        <v>2</v>
      </c>
      <c r="G120" s="25">
        <v>3</v>
      </c>
      <c r="H120" s="25">
        <v>1</v>
      </c>
      <c r="I120" s="25">
        <v>2</v>
      </c>
      <c r="J120" s="26" t="s">
        <v>276</v>
      </c>
      <c r="K120" s="26" t="s">
        <v>532</v>
      </c>
      <c r="L120" s="25" t="s">
        <v>519</v>
      </c>
      <c r="M120" s="27" t="str">
        <f t="shared" si="6"/>
        <v>Everyone else</v>
      </c>
      <c r="N120" s="27" t="str">
        <f t="shared" si="7"/>
        <v>Flexibility Negative</v>
      </c>
      <c r="O120" s="27" t="str">
        <f t="shared" si="8"/>
        <v>Workload Negative</v>
      </c>
      <c r="P120" s="27" t="str">
        <f t="shared" si="9"/>
        <v>Everyone else</v>
      </c>
      <c r="Q120" s="27" t="str">
        <f t="shared" si="10"/>
        <v>Everyone else</v>
      </c>
      <c r="R120" s="27" t="str">
        <f t="shared" si="11"/>
        <v>Everyone else</v>
      </c>
    </row>
    <row r="121" spans="1:18" ht="34.5" customHeight="1" x14ac:dyDescent="0.25">
      <c r="A121" s="25" t="s">
        <v>277</v>
      </c>
      <c r="B121" s="26" t="s">
        <v>73</v>
      </c>
      <c r="C121" s="25" t="s">
        <v>85</v>
      </c>
      <c r="D121" s="25">
        <v>3</v>
      </c>
      <c r="E121" s="25">
        <v>2</v>
      </c>
      <c r="F121" s="25">
        <v>3</v>
      </c>
      <c r="G121" s="25">
        <v>1</v>
      </c>
      <c r="H121" s="25">
        <v>3</v>
      </c>
      <c r="I121" s="25">
        <v>2</v>
      </c>
      <c r="J121" s="26" t="s">
        <v>119</v>
      </c>
      <c r="K121" s="26" t="s">
        <v>528</v>
      </c>
      <c r="L121" s="25" t="s">
        <v>519</v>
      </c>
      <c r="M121" s="27" t="str">
        <f t="shared" si="6"/>
        <v>Everyone else</v>
      </c>
      <c r="N121" s="27" t="str">
        <f t="shared" si="7"/>
        <v>Everyone else</v>
      </c>
      <c r="O121" s="27" t="str">
        <f t="shared" si="8"/>
        <v>Everyone else</v>
      </c>
      <c r="P121" s="27" t="str">
        <f t="shared" si="9"/>
        <v>Tools and systems Negative</v>
      </c>
      <c r="Q121" s="27" t="str">
        <f t="shared" si="10"/>
        <v>Everyone else</v>
      </c>
      <c r="R121" s="27" t="str">
        <f t="shared" si="11"/>
        <v>Everyone else</v>
      </c>
    </row>
    <row r="122" spans="1:18" ht="23.25" customHeight="1" x14ac:dyDescent="0.25">
      <c r="A122" s="25" t="s">
        <v>278</v>
      </c>
      <c r="B122" s="26" t="s">
        <v>118</v>
      </c>
      <c r="C122" s="25" t="s">
        <v>94</v>
      </c>
      <c r="D122" s="25">
        <v>2</v>
      </c>
      <c r="E122" s="25">
        <v>3</v>
      </c>
      <c r="F122" s="25">
        <v>4</v>
      </c>
      <c r="G122" s="25">
        <v>3</v>
      </c>
      <c r="H122" s="25">
        <v>3</v>
      </c>
      <c r="I122" s="25">
        <v>7</v>
      </c>
      <c r="J122" s="26" t="s">
        <v>279</v>
      </c>
      <c r="K122" s="26" t="s">
        <v>529</v>
      </c>
      <c r="L122" s="25" t="s">
        <v>519</v>
      </c>
      <c r="M122" s="27" t="str">
        <f t="shared" si="6"/>
        <v>Everyone else</v>
      </c>
      <c r="N122" s="27" t="str">
        <f t="shared" si="7"/>
        <v>Flexibility Negative</v>
      </c>
      <c r="O122" s="27" t="str">
        <f t="shared" si="8"/>
        <v>Everyone else</v>
      </c>
      <c r="P122" s="27" t="str">
        <f t="shared" si="9"/>
        <v>Everyone else</v>
      </c>
      <c r="Q122" s="27" t="str">
        <f t="shared" si="10"/>
        <v>Everyone else</v>
      </c>
      <c r="R122" s="27" t="str">
        <f t="shared" si="11"/>
        <v>Career growth Negative</v>
      </c>
    </row>
    <row r="123" spans="1:18" ht="34.5" customHeight="1" x14ac:dyDescent="0.25">
      <c r="A123" s="25" t="s">
        <v>280</v>
      </c>
      <c r="B123" s="26" t="s">
        <v>91</v>
      </c>
      <c r="C123" s="25" t="s">
        <v>88</v>
      </c>
      <c r="D123" s="25">
        <v>1</v>
      </c>
      <c r="E123" s="25">
        <v>4</v>
      </c>
      <c r="F123" s="25">
        <v>2</v>
      </c>
      <c r="G123" s="25">
        <v>2</v>
      </c>
      <c r="H123" s="25">
        <v>2</v>
      </c>
      <c r="I123" s="25">
        <v>6</v>
      </c>
      <c r="J123" s="26" t="s">
        <v>111</v>
      </c>
      <c r="K123" s="26" t="s">
        <v>525</v>
      </c>
      <c r="L123" s="25" t="s">
        <v>519</v>
      </c>
      <c r="M123" s="27" t="str">
        <f t="shared" si="6"/>
        <v>Everyone else</v>
      </c>
      <c r="N123" s="27" t="str">
        <f t="shared" si="7"/>
        <v>Everyone else</v>
      </c>
      <c r="O123" s="27" t="str">
        <f t="shared" si="8"/>
        <v>Everyone else</v>
      </c>
      <c r="P123" s="27" t="str">
        <f t="shared" si="9"/>
        <v>Everyone else</v>
      </c>
      <c r="Q123" s="27" t="str">
        <f t="shared" si="10"/>
        <v>Pay and benefits Negative</v>
      </c>
      <c r="R123" s="27" t="str">
        <f t="shared" si="11"/>
        <v>Everyone else</v>
      </c>
    </row>
    <row r="124" spans="1:18" ht="15" customHeight="1" x14ac:dyDescent="0.25">
      <c r="A124" s="25" t="s">
        <v>281</v>
      </c>
      <c r="B124" s="26" t="s">
        <v>118</v>
      </c>
      <c r="C124" s="25" t="s">
        <v>85</v>
      </c>
      <c r="D124" s="25">
        <v>4</v>
      </c>
      <c r="E124" s="25">
        <v>4</v>
      </c>
      <c r="F124" s="25">
        <v>4</v>
      </c>
      <c r="G124" s="25">
        <v>4</v>
      </c>
      <c r="H124" s="25">
        <v>4</v>
      </c>
      <c r="I124" s="25">
        <v>8</v>
      </c>
      <c r="J124" s="26" t="s">
        <v>192</v>
      </c>
      <c r="K124" s="26" t="s">
        <v>514</v>
      </c>
      <c r="L124" s="25" t="s">
        <v>515</v>
      </c>
      <c r="M124" s="27" t="str">
        <f t="shared" si="6"/>
        <v>Everyone else</v>
      </c>
      <c r="N124" s="27" t="str">
        <f t="shared" si="7"/>
        <v>Everyone else</v>
      </c>
      <c r="O124" s="27" t="str">
        <f t="shared" si="8"/>
        <v>Everyone else</v>
      </c>
      <c r="P124" s="27" t="str">
        <f t="shared" si="9"/>
        <v>Everyone else</v>
      </c>
      <c r="Q124" s="27" t="str">
        <f t="shared" si="10"/>
        <v>Everyone else</v>
      </c>
      <c r="R124" s="27" t="str">
        <f t="shared" si="11"/>
        <v>Everyone else</v>
      </c>
    </row>
    <row r="125" spans="1:18" ht="34.5" customHeight="1" x14ac:dyDescent="0.25">
      <c r="A125" s="25" t="s">
        <v>282</v>
      </c>
      <c r="B125" s="26" t="s">
        <v>91</v>
      </c>
      <c r="C125" s="25" t="s">
        <v>88</v>
      </c>
      <c r="D125" s="25">
        <v>3</v>
      </c>
      <c r="E125" s="25">
        <v>3</v>
      </c>
      <c r="F125" s="25">
        <v>2</v>
      </c>
      <c r="G125" s="25">
        <v>2</v>
      </c>
      <c r="H125" s="25">
        <v>3</v>
      </c>
      <c r="I125" s="25">
        <v>5</v>
      </c>
      <c r="J125" s="26" t="s">
        <v>283</v>
      </c>
      <c r="K125" s="26" t="s">
        <v>547</v>
      </c>
      <c r="L125" s="25" t="s">
        <v>519</v>
      </c>
      <c r="M125" s="27" t="str">
        <f t="shared" si="6"/>
        <v>Everyone else</v>
      </c>
      <c r="N125" s="27" t="str">
        <f t="shared" si="7"/>
        <v>Flexibility Negative</v>
      </c>
      <c r="O125" s="27" t="str">
        <f t="shared" si="8"/>
        <v>Everyone else</v>
      </c>
      <c r="P125" s="27" t="str">
        <f t="shared" si="9"/>
        <v>Tools and systems Negative</v>
      </c>
      <c r="Q125" s="27" t="str">
        <f t="shared" si="10"/>
        <v>Everyone else</v>
      </c>
      <c r="R125" s="27" t="str">
        <f t="shared" si="11"/>
        <v>Everyone else</v>
      </c>
    </row>
    <row r="126" spans="1:18" ht="15" customHeight="1" x14ac:dyDescent="0.25">
      <c r="A126" s="25" t="s">
        <v>284</v>
      </c>
      <c r="B126" s="26" t="s">
        <v>108</v>
      </c>
      <c r="C126" s="25" t="s">
        <v>85</v>
      </c>
      <c r="D126" s="25">
        <v>4</v>
      </c>
      <c r="E126" s="25">
        <v>5</v>
      </c>
      <c r="F126" s="25">
        <v>3</v>
      </c>
      <c r="G126" s="25">
        <v>4</v>
      </c>
      <c r="H126" s="25">
        <v>4</v>
      </c>
      <c r="I126" s="25">
        <v>7</v>
      </c>
      <c r="J126" s="26" t="s">
        <v>75</v>
      </c>
      <c r="K126" s="26" t="s">
        <v>514</v>
      </c>
      <c r="L126" s="25" t="s">
        <v>515</v>
      </c>
      <c r="M126" s="27" t="str">
        <f t="shared" si="6"/>
        <v>Everyone else</v>
      </c>
      <c r="N126" s="27" t="str">
        <f t="shared" si="7"/>
        <v>Everyone else</v>
      </c>
      <c r="O126" s="27" t="str">
        <f t="shared" si="8"/>
        <v>Everyone else</v>
      </c>
      <c r="P126" s="27" t="str">
        <f t="shared" si="9"/>
        <v>Everyone else</v>
      </c>
      <c r="Q126" s="27" t="str">
        <f t="shared" si="10"/>
        <v>Everyone else</v>
      </c>
      <c r="R126" s="27" t="str">
        <f t="shared" si="11"/>
        <v>Everyone else</v>
      </c>
    </row>
    <row r="127" spans="1:18" ht="23.25" customHeight="1" x14ac:dyDescent="0.25">
      <c r="A127" s="25" t="s">
        <v>285</v>
      </c>
      <c r="B127" s="26" t="s">
        <v>82</v>
      </c>
      <c r="C127" s="25" t="s">
        <v>94</v>
      </c>
      <c r="D127" s="25">
        <v>4</v>
      </c>
      <c r="E127" s="25">
        <v>4</v>
      </c>
      <c r="F127" s="25">
        <v>4</v>
      </c>
      <c r="G127" s="25">
        <v>5</v>
      </c>
      <c r="H127" s="25">
        <v>4</v>
      </c>
      <c r="I127" s="25">
        <v>7</v>
      </c>
      <c r="J127" s="26" t="s">
        <v>286</v>
      </c>
      <c r="K127" s="26" t="s">
        <v>526</v>
      </c>
      <c r="L127" s="25" t="s">
        <v>515</v>
      </c>
      <c r="M127" s="27" t="str">
        <f t="shared" si="6"/>
        <v>Everyone else</v>
      </c>
      <c r="N127" s="27" t="str">
        <f t="shared" si="7"/>
        <v>Everyone else</v>
      </c>
      <c r="O127" s="27" t="str">
        <f t="shared" si="8"/>
        <v>Everyone else</v>
      </c>
      <c r="P127" s="27" t="str">
        <f t="shared" si="9"/>
        <v>Everyone else</v>
      </c>
      <c r="Q127" s="27" t="str">
        <f t="shared" si="10"/>
        <v>Everyone else</v>
      </c>
      <c r="R127" s="27" t="str">
        <f t="shared" si="11"/>
        <v>Everyone else</v>
      </c>
    </row>
    <row r="128" spans="1:18" ht="15" customHeight="1" x14ac:dyDescent="0.25">
      <c r="A128" s="25" t="s">
        <v>287</v>
      </c>
      <c r="B128" s="26" t="s">
        <v>73</v>
      </c>
      <c r="C128" s="25" t="s">
        <v>88</v>
      </c>
      <c r="D128" s="25">
        <v>4</v>
      </c>
      <c r="E128" s="25">
        <v>3</v>
      </c>
      <c r="F128" s="25">
        <v>4</v>
      </c>
      <c r="G128" s="25">
        <v>3</v>
      </c>
      <c r="H128" s="25">
        <v>3</v>
      </c>
      <c r="I128" s="25">
        <v>9</v>
      </c>
      <c r="J128" s="26" t="s">
        <v>209</v>
      </c>
      <c r="K128" s="26" t="s">
        <v>521</v>
      </c>
      <c r="L128" s="25" t="s">
        <v>515</v>
      </c>
      <c r="M128" s="27" t="str">
        <f t="shared" si="6"/>
        <v>Everyone else</v>
      </c>
      <c r="N128" s="27" t="str">
        <f t="shared" si="7"/>
        <v>Everyone else</v>
      </c>
      <c r="O128" s="27" t="str">
        <f t="shared" si="8"/>
        <v>Everyone else</v>
      </c>
      <c r="P128" s="27" t="str">
        <f t="shared" si="9"/>
        <v>Everyone else</v>
      </c>
      <c r="Q128" s="27" t="str">
        <f t="shared" si="10"/>
        <v>Everyone else</v>
      </c>
      <c r="R128" s="27" t="str">
        <f t="shared" si="11"/>
        <v>Everyone else</v>
      </c>
    </row>
    <row r="129" spans="1:18" ht="15" customHeight="1" x14ac:dyDescent="0.25">
      <c r="A129" s="25" t="s">
        <v>288</v>
      </c>
      <c r="B129" s="26" t="s">
        <v>91</v>
      </c>
      <c r="C129" s="25" t="s">
        <v>85</v>
      </c>
      <c r="D129" s="25">
        <v>4</v>
      </c>
      <c r="E129" s="25">
        <v>3</v>
      </c>
      <c r="F129" s="25">
        <v>4</v>
      </c>
      <c r="G129" s="25">
        <v>4</v>
      </c>
      <c r="H129" s="25">
        <v>3</v>
      </c>
      <c r="I129" s="25">
        <v>9</v>
      </c>
      <c r="J129" s="26" t="s">
        <v>121</v>
      </c>
      <c r="K129" s="26" t="s">
        <v>525</v>
      </c>
      <c r="L129" s="25" t="s">
        <v>515</v>
      </c>
      <c r="M129" s="27" t="str">
        <f t="shared" si="6"/>
        <v>Everyone else</v>
      </c>
      <c r="N129" s="27" t="str">
        <f t="shared" si="7"/>
        <v>Everyone else</v>
      </c>
      <c r="O129" s="27" t="str">
        <f t="shared" si="8"/>
        <v>Everyone else</v>
      </c>
      <c r="P129" s="27" t="str">
        <f t="shared" si="9"/>
        <v>Everyone else</v>
      </c>
      <c r="Q129" s="27" t="str">
        <f t="shared" si="10"/>
        <v>Everyone else</v>
      </c>
      <c r="R129" s="27" t="str">
        <f t="shared" si="11"/>
        <v>Everyone else</v>
      </c>
    </row>
    <row r="130" spans="1:18" ht="34.5" customHeight="1" x14ac:dyDescent="0.25">
      <c r="A130" s="25" t="s">
        <v>289</v>
      </c>
      <c r="B130" s="26" t="s">
        <v>73</v>
      </c>
      <c r="C130" s="25" t="s">
        <v>94</v>
      </c>
      <c r="D130" s="25">
        <v>3</v>
      </c>
      <c r="E130" s="25">
        <v>2</v>
      </c>
      <c r="F130" s="25">
        <v>2</v>
      </c>
      <c r="G130" s="25">
        <v>2</v>
      </c>
      <c r="H130" s="25">
        <v>2</v>
      </c>
      <c r="I130" s="25">
        <v>5</v>
      </c>
      <c r="J130" s="26" t="s">
        <v>222</v>
      </c>
      <c r="K130" s="26" t="s">
        <v>523</v>
      </c>
      <c r="L130" s="25" t="s">
        <v>519</v>
      </c>
      <c r="M130" s="27" t="str">
        <f t="shared" ref="M130:M193" si="12">IF(AND(ISNUMBER(SEARCH("Manager support",K130)),L130="Negative"),"Manager support Negative","Everyone else")</f>
        <v>Everyone else</v>
      </c>
      <c r="N130" s="27" t="str">
        <f t="shared" ref="N130:N193" si="13">IF(AND(ISNUMBER(SEARCH("Flexibility",K130)),L130="Negative"),"Flexibility Negative","Everyone else")</f>
        <v>Everyone else</v>
      </c>
      <c r="O130" s="27" t="str">
        <f t="shared" ref="O130:O193" si="14">IF(AND(ISNUMBER(SEARCH("Workload",K130)),L130="Negative"),"Workload Negative","Everyone else")</f>
        <v>Everyone else</v>
      </c>
      <c r="P130" s="27" t="str">
        <f t="shared" ref="P130:P193" si="15">IF(AND(ISNUMBER(SEARCH("Tools and systems",K130)),L130="Negative"),"Tools and systems Negative","Everyone else")</f>
        <v>Everyone else</v>
      </c>
      <c r="Q130" s="27" t="str">
        <f t="shared" ref="Q130:Q193" si="16">IF(AND(ISNUMBER(SEARCH("Pay and benefits",K130)),L130="Negative"),"Pay and benefits Negative","Everyone else")</f>
        <v>Pay and benefits Negative</v>
      </c>
      <c r="R130" s="27" t="str">
        <f t="shared" ref="R130:R193" si="17">IF(AND(ISNUMBER(SEARCH("Career growth",K130)),L130="Negative"),"Career growth Negative","Everyone else")</f>
        <v>Career growth Negative</v>
      </c>
    </row>
    <row r="131" spans="1:18" ht="15" customHeight="1" x14ac:dyDescent="0.25">
      <c r="A131" s="25" t="s">
        <v>290</v>
      </c>
      <c r="B131" s="26" t="s">
        <v>82</v>
      </c>
      <c r="C131" s="25" t="s">
        <v>74</v>
      </c>
      <c r="D131" s="25">
        <v>4</v>
      </c>
      <c r="E131" s="25">
        <v>4</v>
      </c>
      <c r="F131" s="25">
        <v>4</v>
      </c>
      <c r="G131" s="25">
        <v>4</v>
      </c>
      <c r="H131" s="25">
        <v>5</v>
      </c>
      <c r="I131" s="25">
        <v>5</v>
      </c>
      <c r="J131" s="26" t="s">
        <v>75</v>
      </c>
      <c r="K131" s="26" t="s">
        <v>514</v>
      </c>
      <c r="L131" s="25" t="s">
        <v>515</v>
      </c>
      <c r="M131" s="27" t="str">
        <f t="shared" si="12"/>
        <v>Everyone else</v>
      </c>
      <c r="N131" s="27" t="str">
        <f t="shared" si="13"/>
        <v>Everyone else</v>
      </c>
      <c r="O131" s="27" t="str">
        <f t="shared" si="14"/>
        <v>Everyone else</v>
      </c>
      <c r="P131" s="27" t="str">
        <f t="shared" si="15"/>
        <v>Everyone else</v>
      </c>
      <c r="Q131" s="27" t="str">
        <f t="shared" si="16"/>
        <v>Everyone else</v>
      </c>
      <c r="R131" s="27" t="str">
        <f t="shared" si="17"/>
        <v>Everyone else</v>
      </c>
    </row>
    <row r="132" spans="1:18" ht="15" customHeight="1" x14ac:dyDescent="0.25">
      <c r="A132" s="25" t="s">
        <v>291</v>
      </c>
      <c r="B132" s="26" t="s">
        <v>73</v>
      </c>
      <c r="C132" s="25" t="s">
        <v>88</v>
      </c>
      <c r="D132" s="25">
        <v>4</v>
      </c>
      <c r="E132" s="25">
        <v>4</v>
      </c>
      <c r="F132" s="25">
        <v>4</v>
      </c>
      <c r="G132" s="25">
        <v>4</v>
      </c>
      <c r="H132" s="25">
        <v>5</v>
      </c>
      <c r="I132" s="25">
        <v>9</v>
      </c>
      <c r="J132" s="26" t="s">
        <v>261</v>
      </c>
      <c r="K132" s="26" t="s">
        <v>521</v>
      </c>
      <c r="L132" s="25" t="s">
        <v>515</v>
      </c>
      <c r="M132" s="27" t="str">
        <f t="shared" si="12"/>
        <v>Everyone else</v>
      </c>
      <c r="N132" s="27" t="str">
        <f t="shared" si="13"/>
        <v>Everyone else</v>
      </c>
      <c r="O132" s="27" t="str">
        <f t="shared" si="14"/>
        <v>Everyone else</v>
      </c>
      <c r="P132" s="27" t="str">
        <f t="shared" si="15"/>
        <v>Everyone else</v>
      </c>
      <c r="Q132" s="27" t="str">
        <f t="shared" si="16"/>
        <v>Everyone else</v>
      </c>
      <c r="R132" s="27" t="str">
        <f t="shared" si="17"/>
        <v>Everyone else</v>
      </c>
    </row>
    <row r="133" spans="1:18" ht="23.25" customHeight="1" x14ac:dyDescent="0.25">
      <c r="A133" s="25" t="s">
        <v>292</v>
      </c>
      <c r="B133" s="26" t="s">
        <v>82</v>
      </c>
      <c r="C133" s="25" t="s">
        <v>85</v>
      </c>
      <c r="D133" s="25">
        <v>2</v>
      </c>
      <c r="E133" s="25">
        <v>3</v>
      </c>
      <c r="F133" s="25">
        <v>4</v>
      </c>
      <c r="G133" s="25">
        <v>4</v>
      </c>
      <c r="H133" s="25">
        <v>4</v>
      </c>
      <c r="I133" s="25">
        <v>10</v>
      </c>
      <c r="J133" s="26" t="s">
        <v>293</v>
      </c>
      <c r="K133" s="26" t="s">
        <v>546</v>
      </c>
      <c r="L133" s="25" t="s">
        <v>515</v>
      </c>
      <c r="M133" s="27" t="str">
        <f t="shared" si="12"/>
        <v>Everyone else</v>
      </c>
      <c r="N133" s="27" t="str">
        <f t="shared" si="13"/>
        <v>Everyone else</v>
      </c>
      <c r="O133" s="27" t="str">
        <f t="shared" si="14"/>
        <v>Everyone else</v>
      </c>
      <c r="P133" s="27" t="str">
        <f t="shared" si="15"/>
        <v>Everyone else</v>
      </c>
      <c r="Q133" s="27" t="str">
        <f t="shared" si="16"/>
        <v>Everyone else</v>
      </c>
      <c r="R133" s="27" t="str">
        <f t="shared" si="17"/>
        <v>Everyone else</v>
      </c>
    </row>
    <row r="134" spans="1:18" ht="23.25" customHeight="1" x14ac:dyDescent="0.25">
      <c r="A134" s="25" t="s">
        <v>294</v>
      </c>
      <c r="B134" s="26" t="s">
        <v>108</v>
      </c>
      <c r="C134" s="25" t="s">
        <v>85</v>
      </c>
      <c r="D134" s="25">
        <v>3</v>
      </c>
      <c r="E134" s="25">
        <v>1</v>
      </c>
      <c r="F134" s="25">
        <v>3</v>
      </c>
      <c r="G134" s="25">
        <v>3</v>
      </c>
      <c r="H134" s="25">
        <v>4</v>
      </c>
      <c r="I134" s="25">
        <v>4</v>
      </c>
      <c r="J134" s="26" t="s">
        <v>89</v>
      </c>
      <c r="K134" s="26" t="s">
        <v>521</v>
      </c>
      <c r="L134" s="25" t="s">
        <v>519</v>
      </c>
      <c r="M134" s="27" t="str">
        <f t="shared" si="12"/>
        <v>Everyone else</v>
      </c>
      <c r="N134" s="27" t="str">
        <f t="shared" si="13"/>
        <v>Everyone else</v>
      </c>
      <c r="O134" s="27" t="str">
        <f t="shared" si="14"/>
        <v>Workload Negative</v>
      </c>
      <c r="P134" s="27" t="str">
        <f t="shared" si="15"/>
        <v>Everyone else</v>
      </c>
      <c r="Q134" s="27" t="str">
        <f t="shared" si="16"/>
        <v>Everyone else</v>
      </c>
      <c r="R134" s="27" t="str">
        <f t="shared" si="17"/>
        <v>Everyone else</v>
      </c>
    </row>
    <row r="135" spans="1:18" ht="23.25" customHeight="1" x14ac:dyDescent="0.25">
      <c r="A135" s="25" t="s">
        <v>295</v>
      </c>
      <c r="B135" s="26" t="s">
        <v>82</v>
      </c>
      <c r="C135" s="25" t="s">
        <v>74</v>
      </c>
      <c r="D135" s="25">
        <v>2</v>
      </c>
      <c r="E135" s="25">
        <v>3</v>
      </c>
      <c r="F135" s="25">
        <v>4</v>
      </c>
      <c r="G135" s="25">
        <v>3</v>
      </c>
      <c r="H135" s="25">
        <v>3</v>
      </c>
      <c r="I135" s="25">
        <v>6</v>
      </c>
      <c r="J135" s="26" t="s">
        <v>296</v>
      </c>
      <c r="K135" s="26" t="s">
        <v>526</v>
      </c>
      <c r="L135" s="25" t="s">
        <v>519</v>
      </c>
      <c r="M135" s="27" t="str">
        <f t="shared" si="12"/>
        <v>Everyone else</v>
      </c>
      <c r="N135" s="27" t="str">
        <f t="shared" si="13"/>
        <v>Flexibility Negative</v>
      </c>
      <c r="O135" s="27" t="str">
        <f t="shared" si="14"/>
        <v>Workload Negative</v>
      </c>
      <c r="P135" s="27" t="str">
        <f t="shared" si="15"/>
        <v>Everyone else</v>
      </c>
      <c r="Q135" s="27" t="str">
        <f t="shared" si="16"/>
        <v>Everyone else</v>
      </c>
      <c r="R135" s="27" t="str">
        <f t="shared" si="17"/>
        <v>Everyone else</v>
      </c>
    </row>
    <row r="136" spans="1:18" ht="23.25" customHeight="1" x14ac:dyDescent="0.25">
      <c r="A136" s="25" t="s">
        <v>297</v>
      </c>
      <c r="B136" s="26" t="s">
        <v>91</v>
      </c>
      <c r="C136" s="25" t="s">
        <v>74</v>
      </c>
      <c r="D136" s="25">
        <v>4</v>
      </c>
      <c r="E136" s="25">
        <v>3</v>
      </c>
      <c r="F136" s="25">
        <v>4</v>
      </c>
      <c r="G136" s="25">
        <v>4</v>
      </c>
      <c r="H136" s="25">
        <v>4</v>
      </c>
      <c r="I136" s="25">
        <v>9</v>
      </c>
      <c r="J136" s="26" t="s">
        <v>298</v>
      </c>
      <c r="K136" s="26" t="s">
        <v>543</v>
      </c>
      <c r="L136" s="25" t="s">
        <v>515</v>
      </c>
      <c r="M136" s="27" t="str">
        <f t="shared" si="12"/>
        <v>Everyone else</v>
      </c>
      <c r="N136" s="27" t="str">
        <f t="shared" si="13"/>
        <v>Everyone else</v>
      </c>
      <c r="O136" s="27" t="str">
        <f t="shared" si="14"/>
        <v>Everyone else</v>
      </c>
      <c r="P136" s="27" t="str">
        <f t="shared" si="15"/>
        <v>Everyone else</v>
      </c>
      <c r="Q136" s="27" t="str">
        <f t="shared" si="16"/>
        <v>Everyone else</v>
      </c>
      <c r="R136" s="27" t="str">
        <f t="shared" si="17"/>
        <v>Everyone else</v>
      </c>
    </row>
    <row r="137" spans="1:18" ht="34.5" customHeight="1" x14ac:dyDescent="0.25">
      <c r="A137" s="25" t="s">
        <v>299</v>
      </c>
      <c r="B137" s="26" t="s">
        <v>108</v>
      </c>
      <c r="C137" s="25" t="s">
        <v>85</v>
      </c>
      <c r="D137" s="25">
        <v>3</v>
      </c>
      <c r="E137" s="25">
        <v>3</v>
      </c>
      <c r="F137" s="25">
        <v>2</v>
      </c>
      <c r="G137" s="25">
        <v>3</v>
      </c>
      <c r="H137" s="25">
        <v>4</v>
      </c>
      <c r="I137" s="25">
        <v>9</v>
      </c>
      <c r="J137" s="26" t="s">
        <v>300</v>
      </c>
      <c r="K137" s="26" t="s">
        <v>531</v>
      </c>
      <c r="L137" s="25" t="s">
        <v>519</v>
      </c>
      <c r="M137" s="27" t="str">
        <f t="shared" si="12"/>
        <v>Manager support Negative</v>
      </c>
      <c r="N137" s="27" t="str">
        <f t="shared" si="13"/>
        <v>Everyone else</v>
      </c>
      <c r="O137" s="27" t="str">
        <f t="shared" si="14"/>
        <v>Everyone else</v>
      </c>
      <c r="P137" s="27" t="str">
        <f t="shared" si="15"/>
        <v>Everyone else</v>
      </c>
      <c r="Q137" s="27" t="str">
        <f t="shared" si="16"/>
        <v>Everyone else</v>
      </c>
      <c r="R137" s="27" t="str">
        <f t="shared" si="17"/>
        <v>Career growth Negative</v>
      </c>
    </row>
    <row r="138" spans="1:18" ht="34.5" customHeight="1" x14ac:dyDescent="0.25">
      <c r="A138" s="25" t="s">
        <v>301</v>
      </c>
      <c r="B138" s="26" t="s">
        <v>82</v>
      </c>
      <c r="C138" s="25" t="s">
        <v>94</v>
      </c>
      <c r="D138" s="25">
        <v>2</v>
      </c>
      <c r="E138" s="25">
        <v>2</v>
      </c>
      <c r="F138" s="25">
        <v>3</v>
      </c>
      <c r="G138" s="25">
        <v>4</v>
      </c>
      <c r="H138" s="25">
        <v>3</v>
      </c>
      <c r="I138" s="25">
        <v>5</v>
      </c>
      <c r="J138" s="26" t="s">
        <v>111</v>
      </c>
      <c r="K138" s="26" t="s">
        <v>525</v>
      </c>
      <c r="L138" s="25" t="s">
        <v>519</v>
      </c>
      <c r="M138" s="27" t="str">
        <f t="shared" si="12"/>
        <v>Everyone else</v>
      </c>
      <c r="N138" s="27" t="str">
        <f t="shared" si="13"/>
        <v>Everyone else</v>
      </c>
      <c r="O138" s="27" t="str">
        <f t="shared" si="14"/>
        <v>Everyone else</v>
      </c>
      <c r="P138" s="27" t="str">
        <f t="shared" si="15"/>
        <v>Everyone else</v>
      </c>
      <c r="Q138" s="27" t="str">
        <f t="shared" si="16"/>
        <v>Pay and benefits Negative</v>
      </c>
      <c r="R138" s="27" t="str">
        <f t="shared" si="17"/>
        <v>Everyone else</v>
      </c>
    </row>
    <row r="139" spans="1:18" ht="15" customHeight="1" x14ac:dyDescent="0.25">
      <c r="A139" s="25" t="s">
        <v>302</v>
      </c>
      <c r="B139" s="26" t="s">
        <v>91</v>
      </c>
      <c r="C139" s="25" t="s">
        <v>85</v>
      </c>
      <c r="D139" s="25">
        <v>4</v>
      </c>
      <c r="E139" s="25">
        <v>3</v>
      </c>
      <c r="F139" s="25">
        <v>3</v>
      </c>
      <c r="G139" s="25">
        <v>4</v>
      </c>
      <c r="H139" s="25">
        <v>5</v>
      </c>
      <c r="I139" s="25">
        <v>10</v>
      </c>
      <c r="J139" s="26" t="s">
        <v>121</v>
      </c>
      <c r="K139" s="26" t="s">
        <v>525</v>
      </c>
      <c r="L139" s="25" t="s">
        <v>515</v>
      </c>
      <c r="M139" s="27" t="str">
        <f t="shared" si="12"/>
        <v>Everyone else</v>
      </c>
      <c r="N139" s="27" t="str">
        <f t="shared" si="13"/>
        <v>Everyone else</v>
      </c>
      <c r="O139" s="27" t="str">
        <f t="shared" si="14"/>
        <v>Everyone else</v>
      </c>
      <c r="P139" s="27" t="str">
        <f t="shared" si="15"/>
        <v>Everyone else</v>
      </c>
      <c r="Q139" s="27" t="str">
        <f t="shared" si="16"/>
        <v>Everyone else</v>
      </c>
      <c r="R139" s="27" t="str">
        <f t="shared" si="17"/>
        <v>Everyone else</v>
      </c>
    </row>
    <row r="140" spans="1:18" ht="23.25" customHeight="1" x14ac:dyDescent="0.25">
      <c r="A140" s="25" t="s">
        <v>303</v>
      </c>
      <c r="B140" s="26" t="s">
        <v>77</v>
      </c>
      <c r="C140" s="25" t="s">
        <v>88</v>
      </c>
      <c r="D140" s="25">
        <v>3</v>
      </c>
      <c r="E140" s="25">
        <v>3</v>
      </c>
      <c r="F140" s="25">
        <v>4</v>
      </c>
      <c r="G140" s="25">
        <v>4</v>
      </c>
      <c r="H140" s="25">
        <v>5</v>
      </c>
      <c r="I140" s="25">
        <v>9</v>
      </c>
      <c r="J140" s="26" t="s">
        <v>265</v>
      </c>
      <c r="K140" s="26" t="s">
        <v>529</v>
      </c>
      <c r="L140" s="25" t="s">
        <v>515</v>
      </c>
      <c r="M140" s="27" t="str">
        <f t="shared" si="12"/>
        <v>Everyone else</v>
      </c>
      <c r="N140" s="27" t="str">
        <f t="shared" si="13"/>
        <v>Everyone else</v>
      </c>
      <c r="O140" s="27" t="str">
        <f t="shared" si="14"/>
        <v>Everyone else</v>
      </c>
      <c r="P140" s="27" t="str">
        <f t="shared" si="15"/>
        <v>Everyone else</v>
      </c>
      <c r="Q140" s="27" t="str">
        <f t="shared" si="16"/>
        <v>Everyone else</v>
      </c>
      <c r="R140" s="27" t="str">
        <f t="shared" si="17"/>
        <v>Everyone else</v>
      </c>
    </row>
    <row r="141" spans="1:18" ht="23.25" customHeight="1" x14ac:dyDescent="0.25">
      <c r="A141" s="25" t="s">
        <v>304</v>
      </c>
      <c r="B141" s="26" t="s">
        <v>82</v>
      </c>
      <c r="C141" s="25" t="s">
        <v>94</v>
      </c>
      <c r="D141" s="25">
        <v>3</v>
      </c>
      <c r="E141" s="25">
        <v>3</v>
      </c>
      <c r="F141" s="25">
        <v>3</v>
      </c>
      <c r="G141" s="25">
        <v>3</v>
      </c>
      <c r="H141" s="25">
        <v>2</v>
      </c>
      <c r="I141" s="25">
        <v>5</v>
      </c>
      <c r="J141" s="26" t="s">
        <v>101</v>
      </c>
      <c r="K141" s="26" t="s">
        <v>516</v>
      </c>
      <c r="L141" s="25" t="s">
        <v>519</v>
      </c>
      <c r="M141" s="27" t="str">
        <f t="shared" si="12"/>
        <v>Everyone else</v>
      </c>
      <c r="N141" s="27" t="str">
        <f t="shared" si="13"/>
        <v>Flexibility Negative</v>
      </c>
      <c r="O141" s="27" t="str">
        <f t="shared" si="14"/>
        <v>Everyone else</v>
      </c>
      <c r="P141" s="27" t="str">
        <f t="shared" si="15"/>
        <v>Everyone else</v>
      </c>
      <c r="Q141" s="27" t="str">
        <f t="shared" si="16"/>
        <v>Everyone else</v>
      </c>
      <c r="R141" s="27" t="str">
        <f t="shared" si="17"/>
        <v>Everyone else</v>
      </c>
    </row>
    <row r="142" spans="1:18" ht="23.25" customHeight="1" x14ac:dyDescent="0.25">
      <c r="A142" s="25" t="s">
        <v>305</v>
      </c>
      <c r="B142" s="26" t="s">
        <v>118</v>
      </c>
      <c r="C142" s="25" t="s">
        <v>88</v>
      </c>
      <c r="D142" s="25">
        <v>3</v>
      </c>
      <c r="E142" s="25">
        <v>2</v>
      </c>
      <c r="F142" s="25">
        <v>4</v>
      </c>
      <c r="G142" s="25">
        <v>4</v>
      </c>
      <c r="H142" s="25">
        <v>5</v>
      </c>
      <c r="I142" s="25">
        <v>4</v>
      </c>
      <c r="J142" s="26" t="s">
        <v>134</v>
      </c>
      <c r="K142" s="26" t="s">
        <v>517</v>
      </c>
      <c r="L142" s="25" t="s">
        <v>515</v>
      </c>
      <c r="M142" s="27" t="str">
        <f t="shared" si="12"/>
        <v>Everyone else</v>
      </c>
      <c r="N142" s="27" t="str">
        <f t="shared" si="13"/>
        <v>Everyone else</v>
      </c>
      <c r="O142" s="27" t="str">
        <f t="shared" si="14"/>
        <v>Everyone else</v>
      </c>
      <c r="P142" s="27" t="str">
        <f t="shared" si="15"/>
        <v>Everyone else</v>
      </c>
      <c r="Q142" s="27" t="str">
        <f t="shared" si="16"/>
        <v>Everyone else</v>
      </c>
      <c r="R142" s="27" t="str">
        <f t="shared" si="17"/>
        <v>Everyone else</v>
      </c>
    </row>
    <row r="143" spans="1:18" ht="23.25" customHeight="1" x14ac:dyDescent="0.25">
      <c r="A143" s="25" t="s">
        <v>306</v>
      </c>
      <c r="B143" s="26" t="s">
        <v>108</v>
      </c>
      <c r="C143" s="25" t="s">
        <v>88</v>
      </c>
      <c r="D143" s="25">
        <v>5</v>
      </c>
      <c r="E143" s="25">
        <v>4</v>
      </c>
      <c r="F143" s="25">
        <v>4</v>
      </c>
      <c r="G143" s="25">
        <v>4</v>
      </c>
      <c r="H143" s="25">
        <v>5</v>
      </c>
      <c r="I143" s="25">
        <v>10</v>
      </c>
      <c r="J143" s="26" t="s">
        <v>307</v>
      </c>
      <c r="K143" s="26" t="s">
        <v>549</v>
      </c>
      <c r="L143" s="25" t="s">
        <v>515</v>
      </c>
      <c r="M143" s="27" t="str">
        <f t="shared" si="12"/>
        <v>Everyone else</v>
      </c>
      <c r="N143" s="27" t="str">
        <f t="shared" si="13"/>
        <v>Everyone else</v>
      </c>
      <c r="O143" s="27" t="str">
        <f t="shared" si="14"/>
        <v>Everyone else</v>
      </c>
      <c r="P143" s="27" t="str">
        <f t="shared" si="15"/>
        <v>Everyone else</v>
      </c>
      <c r="Q143" s="27" t="str">
        <f t="shared" si="16"/>
        <v>Everyone else</v>
      </c>
      <c r="R143" s="27" t="str">
        <f t="shared" si="17"/>
        <v>Everyone else</v>
      </c>
    </row>
    <row r="144" spans="1:18" ht="15" customHeight="1" x14ac:dyDescent="0.25">
      <c r="A144" s="25" t="s">
        <v>308</v>
      </c>
      <c r="B144" s="26" t="s">
        <v>118</v>
      </c>
      <c r="C144" s="25" t="s">
        <v>74</v>
      </c>
      <c r="D144" s="25">
        <v>5</v>
      </c>
      <c r="E144" s="25">
        <v>3</v>
      </c>
      <c r="F144" s="25">
        <v>4</v>
      </c>
      <c r="G144" s="25">
        <v>3</v>
      </c>
      <c r="H144" s="25">
        <v>3</v>
      </c>
      <c r="I144" s="25">
        <v>10</v>
      </c>
      <c r="J144" s="26" t="s">
        <v>172</v>
      </c>
      <c r="K144" s="26" t="s">
        <v>520</v>
      </c>
      <c r="L144" s="25" t="s">
        <v>515</v>
      </c>
      <c r="M144" s="27" t="str">
        <f t="shared" si="12"/>
        <v>Everyone else</v>
      </c>
      <c r="N144" s="27" t="str">
        <f t="shared" si="13"/>
        <v>Everyone else</v>
      </c>
      <c r="O144" s="27" t="str">
        <f t="shared" si="14"/>
        <v>Everyone else</v>
      </c>
      <c r="P144" s="27" t="str">
        <f t="shared" si="15"/>
        <v>Everyone else</v>
      </c>
      <c r="Q144" s="27" t="str">
        <f t="shared" si="16"/>
        <v>Everyone else</v>
      </c>
      <c r="R144" s="27" t="str">
        <f t="shared" si="17"/>
        <v>Everyone else</v>
      </c>
    </row>
    <row r="145" spans="1:18" ht="34.5" customHeight="1" x14ac:dyDescent="0.25">
      <c r="A145" s="25" t="s">
        <v>309</v>
      </c>
      <c r="B145" s="26" t="s">
        <v>82</v>
      </c>
      <c r="C145" s="25" t="s">
        <v>94</v>
      </c>
      <c r="D145" s="25">
        <v>2</v>
      </c>
      <c r="E145" s="25">
        <v>4</v>
      </c>
      <c r="F145" s="25">
        <v>3</v>
      </c>
      <c r="G145" s="25">
        <v>1</v>
      </c>
      <c r="H145" s="25">
        <v>4</v>
      </c>
      <c r="I145" s="25">
        <v>2</v>
      </c>
      <c r="J145" s="26" t="s">
        <v>310</v>
      </c>
      <c r="K145" s="26" t="s">
        <v>543</v>
      </c>
      <c r="L145" s="25" t="s">
        <v>519</v>
      </c>
      <c r="M145" s="27" t="str">
        <f t="shared" si="12"/>
        <v>Everyone else</v>
      </c>
      <c r="N145" s="27" t="str">
        <f t="shared" si="13"/>
        <v>Everyone else</v>
      </c>
      <c r="O145" s="27" t="str">
        <f t="shared" si="14"/>
        <v>Workload Negative</v>
      </c>
      <c r="P145" s="27" t="str">
        <f t="shared" si="15"/>
        <v>Everyone else</v>
      </c>
      <c r="Q145" s="27" t="str">
        <f t="shared" si="16"/>
        <v>Pay and benefits Negative</v>
      </c>
      <c r="R145" s="27" t="str">
        <f t="shared" si="17"/>
        <v>Everyone else</v>
      </c>
    </row>
    <row r="146" spans="1:18" ht="34.5" customHeight="1" x14ac:dyDescent="0.25">
      <c r="A146" s="25" t="s">
        <v>311</v>
      </c>
      <c r="B146" s="26" t="s">
        <v>108</v>
      </c>
      <c r="C146" s="25" t="s">
        <v>74</v>
      </c>
      <c r="D146" s="25">
        <v>3</v>
      </c>
      <c r="E146" s="25">
        <v>3</v>
      </c>
      <c r="F146" s="25">
        <v>4</v>
      </c>
      <c r="G146" s="25">
        <v>3</v>
      </c>
      <c r="H146" s="25">
        <v>2</v>
      </c>
      <c r="I146" s="25">
        <v>3</v>
      </c>
      <c r="J146" s="26" t="s">
        <v>97</v>
      </c>
      <c r="K146" s="26" t="s">
        <v>514</v>
      </c>
      <c r="L146" s="25" t="s">
        <v>519</v>
      </c>
      <c r="M146" s="27" t="str">
        <f t="shared" si="12"/>
        <v>Manager support Negative</v>
      </c>
      <c r="N146" s="27" t="str">
        <f t="shared" si="13"/>
        <v>Everyone else</v>
      </c>
      <c r="O146" s="27" t="str">
        <f t="shared" si="14"/>
        <v>Everyone else</v>
      </c>
      <c r="P146" s="27" t="str">
        <f t="shared" si="15"/>
        <v>Everyone else</v>
      </c>
      <c r="Q146" s="27" t="str">
        <f t="shared" si="16"/>
        <v>Everyone else</v>
      </c>
      <c r="R146" s="27" t="str">
        <f t="shared" si="17"/>
        <v>Everyone else</v>
      </c>
    </row>
    <row r="147" spans="1:18" ht="23.25" customHeight="1" x14ac:dyDescent="0.25">
      <c r="A147" s="25" t="s">
        <v>312</v>
      </c>
      <c r="B147" s="26" t="s">
        <v>118</v>
      </c>
      <c r="C147" s="25" t="s">
        <v>88</v>
      </c>
      <c r="D147" s="25">
        <v>4</v>
      </c>
      <c r="E147" s="25">
        <v>5</v>
      </c>
      <c r="F147" s="25">
        <v>4</v>
      </c>
      <c r="G147" s="25">
        <v>5</v>
      </c>
      <c r="H147" s="25">
        <v>5</v>
      </c>
      <c r="I147" s="25">
        <v>8</v>
      </c>
      <c r="J147" s="26" t="s">
        <v>199</v>
      </c>
      <c r="K147" s="26" t="s">
        <v>522</v>
      </c>
      <c r="L147" s="25" t="s">
        <v>515</v>
      </c>
      <c r="M147" s="27" t="str">
        <f t="shared" si="12"/>
        <v>Everyone else</v>
      </c>
      <c r="N147" s="27" t="str">
        <f t="shared" si="13"/>
        <v>Everyone else</v>
      </c>
      <c r="O147" s="27" t="str">
        <f t="shared" si="14"/>
        <v>Everyone else</v>
      </c>
      <c r="P147" s="27" t="str">
        <f t="shared" si="15"/>
        <v>Everyone else</v>
      </c>
      <c r="Q147" s="27" t="str">
        <f t="shared" si="16"/>
        <v>Everyone else</v>
      </c>
      <c r="R147" s="27" t="str">
        <f t="shared" si="17"/>
        <v>Everyone else</v>
      </c>
    </row>
    <row r="148" spans="1:18" ht="15" customHeight="1" x14ac:dyDescent="0.25">
      <c r="A148" s="25" t="s">
        <v>313</v>
      </c>
      <c r="B148" s="26" t="s">
        <v>91</v>
      </c>
      <c r="C148" s="25" t="s">
        <v>85</v>
      </c>
      <c r="D148" s="25">
        <v>3</v>
      </c>
      <c r="E148" s="25">
        <v>3</v>
      </c>
      <c r="F148" s="25">
        <v>4</v>
      </c>
      <c r="G148" s="25">
        <v>4</v>
      </c>
      <c r="H148" s="25">
        <v>5</v>
      </c>
      <c r="I148" s="25">
        <v>9</v>
      </c>
      <c r="J148" s="26" t="s">
        <v>86</v>
      </c>
      <c r="K148" s="26" t="s">
        <v>520</v>
      </c>
      <c r="L148" s="25" t="s">
        <v>515</v>
      </c>
      <c r="M148" s="27" t="str">
        <f t="shared" si="12"/>
        <v>Everyone else</v>
      </c>
      <c r="N148" s="27" t="str">
        <f t="shared" si="13"/>
        <v>Everyone else</v>
      </c>
      <c r="O148" s="27" t="str">
        <f t="shared" si="14"/>
        <v>Everyone else</v>
      </c>
      <c r="P148" s="27" t="str">
        <f t="shared" si="15"/>
        <v>Everyone else</v>
      </c>
      <c r="Q148" s="27" t="str">
        <f t="shared" si="16"/>
        <v>Everyone else</v>
      </c>
      <c r="R148" s="27" t="str">
        <f t="shared" si="17"/>
        <v>Everyone else</v>
      </c>
    </row>
    <row r="149" spans="1:18" ht="34.5" customHeight="1" x14ac:dyDescent="0.25">
      <c r="A149" s="25" t="s">
        <v>314</v>
      </c>
      <c r="B149" s="26" t="s">
        <v>108</v>
      </c>
      <c r="C149" s="25" t="s">
        <v>74</v>
      </c>
      <c r="D149" s="25">
        <v>3</v>
      </c>
      <c r="E149" s="25">
        <v>3</v>
      </c>
      <c r="F149" s="25">
        <v>3</v>
      </c>
      <c r="G149" s="25">
        <v>3</v>
      </c>
      <c r="H149" s="25">
        <v>4</v>
      </c>
      <c r="I149" s="25">
        <v>3</v>
      </c>
      <c r="J149" s="26" t="s">
        <v>315</v>
      </c>
      <c r="K149" s="26" t="s">
        <v>527</v>
      </c>
      <c r="L149" s="25" t="s">
        <v>519</v>
      </c>
      <c r="M149" s="27" t="str">
        <f t="shared" si="12"/>
        <v>Manager support Negative</v>
      </c>
      <c r="N149" s="27" t="str">
        <f t="shared" si="13"/>
        <v>Everyone else</v>
      </c>
      <c r="O149" s="27" t="str">
        <f t="shared" si="14"/>
        <v>Everyone else</v>
      </c>
      <c r="P149" s="27" t="str">
        <f t="shared" si="15"/>
        <v>Everyone else</v>
      </c>
      <c r="Q149" s="27" t="str">
        <f t="shared" si="16"/>
        <v>Pay and benefits Negative</v>
      </c>
      <c r="R149" s="27" t="str">
        <f t="shared" si="17"/>
        <v>Everyone else</v>
      </c>
    </row>
    <row r="150" spans="1:18" ht="34.5" customHeight="1" x14ac:dyDescent="0.25">
      <c r="A150" s="25" t="s">
        <v>316</v>
      </c>
      <c r="B150" s="26" t="s">
        <v>77</v>
      </c>
      <c r="C150" s="25" t="s">
        <v>88</v>
      </c>
      <c r="D150" s="25">
        <v>3</v>
      </c>
      <c r="E150" s="25">
        <v>2</v>
      </c>
      <c r="F150" s="25">
        <v>2</v>
      </c>
      <c r="G150" s="25">
        <v>3</v>
      </c>
      <c r="H150" s="25">
        <v>4</v>
      </c>
      <c r="I150" s="25">
        <v>6</v>
      </c>
      <c r="J150" s="26" t="s">
        <v>258</v>
      </c>
      <c r="K150" s="26" t="s">
        <v>525</v>
      </c>
      <c r="L150" s="25" t="s">
        <v>519</v>
      </c>
      <c r="M150" s="27" t="str">
        <f t="shared" si="12"/>
        <v>Everyone else</v>
      </c>
      <c r="N150" s="27" t="str">
        <f t="shared" si="13"/>
        <v>Everyone else</v>
      </c>
      <c r="O150" s="27" t="str">
        <f t="shared" si="14"/>
        <v>Everyone else</v>
      </c>
      <c r="P150" s="27" t="str">
        <f t="shared" si="15"/>
        <v>Everyone else</v>
      </c>
      <c r="Q150" s="27" t="str">
        <f t="shared" si="16"/>
        <v>Pay and benefits Negative</v>
      </c>
      <c r="R150" s="27" t="str">
        <f t="shared" si="17"/>
        <v>Everyone else</v>
      </c>
    </row>
    <row r="151" spans="1:18" ht="23.25" customHeight="1" x14ac:dyDescent="0.25">
      <c r="A151" s="25" t="s">
        <v>317</v>
      </c>
      <c r="B151" s="26" t="s">
        <v>73</v>
      </c>
      <c r="C151" s="25" t="s">
        <v>85</v>
      </c>
      <c r="D151" s="25">
        <v>3</v>
      </c>
      <c r="E151" s="25">
        <v>4</v>
      </c>
      <c r="F151" s="25">
        <v>5</v>
      </c>
      <c r="G151" s="25">
        <v>3</v>
      </c>
      <c r="H151" s="25">
        <v>5</v>
      </c>
      <c r="I151" s="25">
        <v>7</v>
      </c>
      <c r="J151" s="26" t="s">
        <v>318</v>
      </c>
      <c r="K151" s="26" t="s">
        <v>545</v>
      </c>
      <c r="L151" s="25" t="s">
        <v>515</v>
      </c>
      <c r="M151" s="27" t="str">
        <f t="shared" si="12"/>
        <v>Everyone else</v>
      </c>
      <c r="N151" s="27" t="str">
        <f t="shared" si="13"/>
        <v>Everyone else</v>
      </c>
      <c r="O151" s="27" t="str">
        <f t="shared" si="14"/>
        <v>Everyone else</v>
      </c>
      <c r="P151" s="27" t="str">
        <f t="shared" si="15"/>
        <v>Everyone else</v>
      </c>
      <c r="Q151" s="27" t="str">
        <f t="shared" si="16"/>
        <v>Everyone else</v>
      </c>
      <c r="R151" s="27" t="str">
        <f t="shared" si="17"/>
        <v>Everyone else</v>
      </c>
    </row>
    <row r="152" spans="1:18" ht="23.25" customHeight="1" x14ac:dyDescent="0.25">
      <c r="A152" s="25" t="s">
        <v>319</v>
      </c>
      <c r="B152" s="26" t="s">
        <v>77</v>
      </c>
      <c r="C152" s="25" t="s">
        <v>88</v>
      </c>
      <c r="D152" s="25">
        <v>3</v>
      </c>
      <c r="E152" s="25">
        <v>4</v>
      </c>
      <c r="F152" s="25">
        <v>4</v>
      </c>
      <c r="G152" s="25">
        <v>3</v>
      </c>
      <c r="H152" s="25">
        <v>5</v>
      </c>
      <c r="I152" s="25">
        <v>9</v>
      </c>
      <c r="J152" s="26" t="s">
        <v>78</v>
      </c>
      <c r="K152" s="26" t="s">
        <v>516</v>
      </c>
      <c r="L152" s="25" t="s">
        <v>515</v>
      </c>
      <c r="M152" s="27" t="str">
        <f t="shared" si="12"/>
        <v>Everyone else</v>
      </c>
      <c r="N152" s="27" t="str">
        <f t="shared" si="13"/>
        <v>Everyone else</v>
      </c>
      <c r="O152" s="27" t="str">
        <f t="shared" si="14"/>
        <v>Everyone else</v>
      </c>
      <c r="P152" s="27" t="str">
        <f t="shared" si="15"/>
        <v>Everyone else</v>
      </c>
      <c r="Q152" s="27" t="str">
        <f t="shared" si="16"/>
        <v>Everyone else</v>
      </c>
      <c r="R152" s="27" t="str">
        <f t="shared" si="17"/>
        <v>Everyone else</v>
      </c>
    </row>
    <row r="153" spans="1:18" ht="23.25" customHeight="1" x14ac:dyDescent="0.25">
      <c r="A153" s="25" t="s">
        <v>320</v>
      </c>
      <c r="B153" s="26" t="s">
        <v>108</v>
      </c>
      <c r="C153" s="25" t="s">
        <v>88</v>
      </c>
      <c r="D153" s="25">
        <v>4</v>
      </c>
      <c r="E153" s="25">
        <v>3</v>
      </c>
      <c r="F153" s="25">
        <v>3</v>
      </c>
      <c r="G153" s="25">
        <v>3</v>
      </c>
      <c r="H153" s="25">
        <v>3</v>
      </c>
      <c r="I153" s="25">
        <v>3</v>
      </c>
      <c r="J153" s="26" t="s">
        <v>232</v>
      </c>
      <c r="K153" s="26" t="s">
        <v>516</v>
      </c>
      <c r="L153" s="25" t="s">
        <v>519</v>
      </c>
      <c r="M153" s="27" t="str">
        <f t="shared" si="12"/>
        <v>Everyone else</v>
      </c>
      <c r="N153" s="27" t="str">
        <f t="shared" si="13"/>
        <v>Flexibility Negative</v>
      </c>
      <c r="O153" s="27" t="str">
        <f t="shared" si="14"/>
        <v>Everyone else</v>
      </c>
      <c r="P153" s="27" t="str">
        <f t="shared" si="15"/>
        <v>Everyone else</v>
      </c>
      <c r="Q153" s="27" t="str">
        <f t="shared" si="16"/>
        <v>Everyone else</v>
      </c>
      <c r="R153" s="27" t="str">
        <f t="shared" si="17"/>
        <v>Everyone else</v>
      </c>
    </row>
    <row r="154" spans="1:18" ht="34.5" customHeight="1" x14ac:dyDescent="0.25">
      <c r="A154" s="25" t="s">
        <v>321</v>
      </c>
      <c r="B154" s="26" t="s">
        <v>73</v>
      </c>
      <c r="C154" s="25" t="s">
        <v>94</v>
      </c>
      <c r="D154" s="25">
        <v>3</v>
      </c>
      <c r="E154" s="25">
        <v>2</v>
      </c>
      <c r="F154" s="25">
        <v>3</v>
      </c>
      <c r="G154" s="25">
        <v>4</v>
      </c>
      <c r="H154" s="25">
        <v>4</v>
      </c>
      <c r="I154" s="25">
        <v>6</v>
      </c>
      <c r="J154" s="26" t="s">
        <v>159</v>
      </c>
      <c r="K154" s="26" t="s">
        <v>514</v>
      </c>
      <c r="L154" s="25" t="s">
        <v>519</v>
      </c>
      <c r="M154" s="27" t="str">
        <f t="shared" si="12"/>
        <v>Manager support Negative</v>
      </c>
      <c r="N154" s="27" t="str">
        <f t="shared" si="13"/>
        <v>Everyone else</v>
      </c>
      <c r="O154" s="27" t="str">
        <f t="shared" si="14"/>
        <v>Everyone else</v>
      </c>
      <c r="P154" s="27" t="str">
        <f t="shared" si="15"/>
        <v>Everyone else</v>
      </c>
      <c r="Q154" s="27" t="str">
        <f t="shared" si="16"/>
        <v>Everyone else</v>
      </c>
      <c r="R154" s="27" t="str">
        <f t="shared" si="17"/>
        <v>Everyone else</v>
      </c>
    </row>
    <row r="155" spans="1:18" ht="23.25" customHeight="1" x14ac:dyDescent="0.25">
      <c r="A155" s="25" t="s">
        <v>322</v>
      </c>
      <c r="B155" s="26" t="s">
        <v>118</v>
      </c>
      <c r="C155" s="25" t="s">
        <v>85</v>
      </c>
      <c r="D155" s="25">
        <v>5</v>
      </c>
      <c r="E155" s="25">
        <v>3</v>
      </c>
      <c r="F155" s="25">
        <v>5</v>
      </c>
      <c r="G155" s="25">
        <v>3</v>
      </c>
      <c r="H155" s="25">
        <v>5</v>
      </c>
      <c r="I155" s="25">
        <v>6</v>
      </c>
      <c r="J155" s="26" t="s">
        <v>323</v>
      </c>
      <c r="K155" s="26" t="s">
        <v>551</v>
      </c>
      <c r="L155" s="25" t="s">
        <v>515</v>
      </c>
      <c r="M155" s="27" t="str">
        <f t="shared" si="12"/>
        <v>Everyone else</v>
      </c>
      <c r="N155" s="27" t="str">
        <f t="shared" si="13"/>
        <v>Everyone else</v>
      </c>
      <c r="O155" s="27" t="str">
        <f t="shared" si="14"/>
        <v>Everyone else</v>
      </c>
      <c r="P155" s="27" t="str">
        <f t="shared" si="15"/>
        <v>Everyone else</v>
      </c>
      <c r="Q155" s="27" t="str">
        <f t="shared" si="16"/>
        <v>Everyone else</v>
      </c>
      <c r="R155" s="27" t="str">
        <f t="shared" si="17"/>
        <v>Everyone else</v>
      </c>
    </row>
    <row r="156" spans="1:18" ht="34.5" customHeight="1" x14ac:dyDescent="0.25">
      <c r="A156" s="25" t="s">
        <v>324</v>
      </c>
      <c r="B156" s="26" t="s">
        <v>108</v>
      </c>
      <c r="C156" s="25" t="s">
        <v>94</v>
      </c>
      <c r="D156" s="25">
        <v>3</v>
      </c>
      <c r="E156" s="25">
        <v>2</v>
      </c>
      <c r="F156" s="25">
        <v>2</v>
      </c>
      <c r="G156" s="25">
        <v>1</v>
      </c>
      <c r="H156" s="25">
        <v>3</v>
      </c>
      <c r="I156" s="25">
        <v>2</v>
      </c>
      <c r="J156" s="26" t="s">
        <v>119</v>
      </c>
      <c r="K156" s="26" t="s">
        <v>528</v>
      </c>
      <c r="L156" s="25" t="s">
        <v>519</v>
      </c>
      <c r="M156" s="27" t="str">
        <f t="shared" si="12"/>
        <v>Everyone else</v>
      </c>
      <c r="N156" s="27" t="str">
        <f t="shared" si="13"/>
        <v>Everyone else</v>
      </c>
      <c r="O156" s="27" t="str">
        <f t="shared" si="14"/>
        <v>Everyone else</v>
      </c>
      <c r="P156" s="27" t="str">
        <f t="shared" si="15"/>
        <v>Tools and systems Negative</v>
      </c>
      <c r="Q156" s="27" t="str">
        <f t="shared" si="16"/>
        <v>Everyone else</v>
      </c>
      <c r="R156" s="27" t="str">
        <f t="shared" si="17"/>
        <v>Everyone else</v>
      </c>
    </row>
    <row r="157" spans="1:18" ht="34.5" customHeight="1" x14ac:dyDescent="0.25">
      <c r="A157" s="25" t="s">
        <v>325</v>
      </c>
      <c r="B157" s="26" t="s">
        <v>73</v>
      </c>
      <c r="C157" s="25" t="s">
        <v>94</v>
      </c>
      <c r="D157" s="25">
        <v>3</v>
      </c>
      <c r="E157" s="25">
        <v>3</v>
      </c>
      <c r="F157" s="25">
        <v>2</v>
      </c>
      <c r="G157" s="25">
        <v>3</v>
      </c>
      <c r="H157" s="25">
        <v>4</v>
      </c>
      <c r="I157" s="25">
        <v>7</v>
      </c>
      <c r="J157" s="26" t="s">
        <v>315</v>
      </c>
      <c r="K157" s="26" t="s">
        <v>527</v>
      </c>
      <c r="L157" s="25" t="s">
        <v>519</v>
      </c>
      <c r="M157" s="27" t="str">
        <f t="shared" si="12"/>
        <v>Manager support Negative</v>
      </c>
      <c r="N157" s="27" t="str">
        <f t="shared" si="13"/>
        <v>Everyone else</v>
      </c>
      <c r="O157" s="27" t="str">
        <f t="shared" si="14"/>
        <v>Everyone else</v>
      </c>
      <c r="P157" s="27" t="str">
        <f t="shared" si="15"/>
        <v>Everyone else</v>
      </c>
      <c r="Q157" s="27" t="str">
        <f t="shared" si="16"/>
        <v>Pay and benefits Negative</v>
      </c>
      <c r="R157" s="27" t="str">
        <f t="shared" si="17"/>
        <v>Everyone else</v>
      </c>
    </row>
    <row r="158" spans="1:18" ht="15" customHeight="1" x14ac:dyDescent="0.25">
      <c r="A158" s="25" t="s">
        <v>326</v>
      </c>
      <c r="B158" s="26" t="s">
        <v>73</v>
      </c>
      <c r="C158" s="25" t="s">
        <v>94</v>
      </c>
      <c r="D158" s="25">
        <v>4</v>
      </c>
      <c r="E158" s="25">
        <v>3</v>
      </c>
      <c r="F158" s="25">
        <v>3</v>
      </c>
      <c r="G158" s="25">
        <v>5</v>
      </c>
      <c r="H158" s="25">
        <v>2</v>
      </c>
      <c r="I158" s="25">
        <v>7</v>
      </c>
      <c r="J158" s="26" t="s">
        <v>192</v>
      </c>
      <c r="K158" s="26" t="s">
        <v>514</v>
      </c>
      <c r="L158" s="25" t="s">
        <v>515</v>
      </c>
      <c r="M158" s="27" t="str">
        <f t="shared" si="12"/>
        <v>Everyone else</v>
      </c>
      <c r="N158" s="27" t="str">
        <f t="shared" si="13"/>
        <v>Everyone else</v>
      </c>
      <c r="O158" s="27" t="str">
        <f t="shared" si="14"/>
        <v>Everyone else</v>
      </c>
      <c r="P158" s="27" t="str">
        <f t="shared" si="15"/>
        <v>Everyone else</v>
      </c>
      <c r="Q158" s="27" t="str">
        <f t="shared" si="16"/>
        <v>Everyone else</v>
      </c>
      <c r="R158" s="27" t="str">
        <f t="shared" si="17"/>
        <v>Everyone else</v>
      </c>
    </row>
    <row r="159" spans="1:18" ht="34.5" customHeight="1" x14ac:dyDescent="0.25">
      <c r="A159" s="25" t="s">
        <v>327</v>
      </c>
      <c r="B159" s="26" t="s">
        <v>91</v>
      </c>
      <c r="C159" s="25" t="s">
        <v>94</v>
      </c>
      <c r="D159" s="25">
        <v>3</v>
      </c>
      <c r="E159" s="25">
        <v>2</v>
      </c>
      <c r="F159" s="25">
        <v>2</v>
      </c>
      <c r="G159" s="25">
        <v>1</v>
      </c>
      <c r="H159" s="25">
        <v>3</v>
      </c>
      <c r="I159" s="25">
        <v>6</v>
      </c>
      <c r="J159" s="26" t="s">
        <v>328</v>
      </c>
      <c r="K159" s="26" t="s">
        <v>546</v>
      </c>
      <c r="L159" s="25" t="s">
        <v>519</v>
      </c>
      <c r="M159" s="27" t="str">
        <f t="shared" si="12"/>
        <v>Everyone else</v>
      </c>
      <c r="N159" s="27" t="str">
        <f t="shared" si="13"/>
        <v>Everyone else</v>
      </c>
      <c r="O159" s="27" t="str">
        <f t="shared" si="14"/>
        <v>Everyone else</v>
      </c>
      <c r="P159" s="27" t="str">
        <f t="shared" si="15"/>
        <v>Tools and systems Negative</v>
      </c>
      <c r="Q159" s="27" t="str">
        <f t="shared" si="16"/>
        <v>Pay and benefits Negative</v>
      </c>
      <c r="R159" s="27" t="str">
        <f t="shared" si="17"/>
        <v>Everyone else</v>
      </c>
    </row>
    <row r="160" spans="1:18" ht="15" customHeight="1" x14ac:dyDescent="0.25">
      <c r="A160" s="25" t="s">
        <v>329</v>
      </c>
      <c r="B160" s="26" t="s">
        <v>91</v>
      </c>
      <c r="C160" s="25" t="s">
        <v>88</v>
      </c>
      <c r="D160" s="25">
        <v>4</v>
      </c>
      <c r="E160" s="25">
        <v>4</v>
      </c>
      <c r="F160" s="25">
        <v>3</v>
      </c>
      <c r="G160" s="25">
        <v>4</v>
      </c>
      <c r="H160" s="25">
        <v>4</v>
      </c>
      <c r="I160" s="25">
        <v>7</v>
      </c>
      <c r="J160" s="26" t="s">
        <v>78</v>
      </c>
      <c r="K160" s="26" t="s">
        <v>516</v>
      </c>
      <c r="L160" s="25" t="s">
        <v>515</v>
      </c>
      <c r="M160" s="27" t="str">
        <f t="shared" si="12"/>
        <v>Everyone else</v>
      </c>
      <c r="N160" s="27" t="str">
        <f t="shared" si="13"/>
        <v>Everyone else</v>
      </c>
      <c r="O160" s="27" t="str">
        <f t="shared" si="14"/>
        <v>Everyone else</v>
      </c>
      <c r="P160" s="27" t="str">
        <f t="shared" si="15"/>
        <v>Everyone else</v>
      </c>
      <c r="Q160" s="27" t="str">
        <f t="shared" si="16"/>
        <v>Everyone else</v>
      </c>
      <c r="R160" s="27" t="str">
        <f t="shared" si="17"/>
        <v>Everyone else</v>
      </c>
    </row>
    <row r="161" spans="1:18" ht="34.5" customHeight="1" x14ac:dyDescent="0.25">
      <c r="A161" s="25" t="s">
        <v>330</v>
      </c>
      <c r="B161" s="26" t="s">
        <v>82</v>
      </c>
      <c r="C161" s="25" t="s">
        <v>85</v>
      </c>
      <c r="D161" s="25">
        <v>2</v>
      </c>
      <c r="E161" s="25">
        <v>4</v>
      </c>
      <c r="F161" s="25">
        <v>3</v>
      </c>
      <c r="G161" s="25">
        <v>3</v>
      </c>
      <c r="H161" s="25">
        <v>3</v>
      </c>
      <c r="I161" s="25">
        <v>5</v>
      </c>
      <c r="J161" s="26" t="s">
        <v>97</v>
      </c>
      <c r="K161" s="26" t="s">
        <v>514</v>
      </c>
      <c r="L161" s="25" t="s">
        <v>519</v>
      </c>
      <c r="M161" s="27" t="str">
        <f t="shared" si="12"/>
        <v>Manager support Negative</v>
      </c>
      <c r="N161" s="27" t="str">
        <f t="shared" si="13"/>
        <v>Everyone else</v>
      </c>
      <c r="O161" s="27" t="str">
        <f t="shared" si="14"/>
        <v>Everyone else</v>
      </c>
      <c r="P161" s="27" t="str">
        <f t="shared" si="15"/>
        <v>Everyone else</v>
      </c>
      <c r="Q161" s="27" t="str">
        <f t="shared" si="16"/>
        <v>Everyone else</v>
      </c>
      <c r="R161" s="27" t="str">
        <f t="shared" si="17"/>
        <v>Everyone else</v>
      </c>
    </row>
    <row r="162" spans="1:18" ht="23.25" customHeight="1" x14ac:dyDescent="0.25">
      <c r="A162" s="25" t="s">
        <v>331</v>
      </c>
      <c r="B162" s="26" t="s">
        <v>108</v>
      </c>
      <c r="C162" s="25" t="s">
        <v>88</v>
      </c>
      <c r="D162" s="25">
        <v>3</v>
      </c>
      <c r="E162" s="25">
        <v>4</v>
      </c>
      <c r="F162" s="25">
        <v>3</v>
      </c>
      <c r="G162" s="25">
        <v>4</v>
      </c>
      <c r="H162" s="25">
        <v>5</v>
      </c>
      <c r="I162" s="25">
        <v>7</v>
      </c>
      <c r="J162" s="26" t="s">
        <v>131</v>
      </c>
      <c r="K162" s="26" t="s">
        <v>531</v>
      </c>
      <c r="L162" s="25" t="s">
        <v>515</v>
      </c>
      <c r="M162" s="27" t="str">
        <f t="shared" si="12"/>
        <v>Everyone else</v>
      </c>
      <c r="N162" s="27" t="str">
        <f t="shared" si="13"/>
        <v>Everyone else</v>
      </c>
      <c r="O162" s="27" t="str">
        <f t="shared" si="14"/>
        <v>Everyone else</v>
      </c>
      <c r="P162" s="27" t="str">
        <f t="shared" si="15"/>
        <v>Everyone else</v>
      </c>
      <c r="Q162" s="27" t="str">
        <f t="shared" si="16"/>
        <v>Everyone else</v>
      </c>
      <c r="R162" s="27" t="str">
        <f t="shared" si="17"/>
        <v>Everyone else</v>
      </c>
    </row>
    <row r="163" spans="1:18" ht="34.5" customHeight="1" x14ac:dyDescent="0.25">
      <c r="A163" s="25" t="s">
        <v>332</v>
      </c>
      <c r="B163" s="26" t="s">
        <v>118</v>
      </c>
      <c r="C163" s="25" t="s">
        <v>94</v>
      </c>
      <c r="D163" s="25">
        <v>3</v>
      </c>
      <c r="E163" s="25">
        <v>2</v>
      </c>
      <c r="F163" s="25">
        <v>2</v>
      </c>
      <c r="G163" s="25">
        <v>3</v>
      </c>
      <c r="H163" s="25">
        <v>4</v>
      </c>
      <c r="I163" s="25">
        <v>5</v>
      </c>
      <c r="J163" s="26" t="s">
        <v>333</v>
      </c>
      <c r="K163" s="26" t="s">
        <v>524</v>
      </c>
      <c r="L163" s="25" t="s">
        <v>519</v>
      </c>
      <c r="M163" s="27" t="str">
        <f t="shared" si="12"/>
        <v>Everyone else</v>
      </c>
      <c r="N163" s="27" t="str">
        <f t="shared" si="13"/>
        <v>Everyone else</v>
      </c>
      <c r="O163" s="27" t="str">
        <f t="shared" si="14"/>
        <v>Workload Negative</v>
      </c>
      <c r="P163" s="27" t="str">
        <f t="shared" si="15"/>
        <v>Tools and systems Negative</v>
      </c>
      <c r="Q163" s="27" t="str">
        <f t="shared" si="16"/>
        <v>Everyone else</v>
      </c>
      <c r="R163" s="27" t="str">
        <f t="shared" si="17"/>
        <v>Everyone else</v>
      </c>
    </row>
    <row r="164" spans="1:18" ht="34.5" customHeight="1" x14ac:dyDescent="0.25">
      <c r="A164" s="25" t="s">
        <v>334</v>
      </c>
      <c r="B164" s="26" t="s">
        <v>118</v>
      </c>
      <c r="C164" s="25" t="s">
        <v>94</v>
      </c>
      <c r="D164" s="25">
        <v>1</v>
      </c>
      <c r="E164" s="25">
        <v>3</v>
      </c>
      <c r="F164" s="25">
        <v>4</v>
      </c>
      <c r="G164" s="25">
        <v>4</v>
      </c>
      <c r="H164" s="25">
        <v>3</v>
      </c>
      <c r="I164" s="25">
        <v>8</v>
      </c>
      <c r="J164" s="26" t="s">
        <v>273</v>
      </c>
      <c r="K164" s="26" t="s">
        <v>550</v>
      </c>
      <c r="L164" s="25" t="s">
        <v>519</v>
      </c>
      <c r="M164" s="27" t="str">
        <f t="shared" si="12"/>
        <v>Manager support Negative</v>
      </c>
      <c r="N164" s="27" t="str">
        <f t="shared" si="13"/>
        <v>Everyone else</v>
      </c>
      <c r="O164" s="27" t="str">
        <f t="shared" si="14"/>
        <v>Workload Negative</v>
      </c>
      <c r="P164" s="27" t="str">
        <f t="shared" si="15"/>
        <v>Everyone else</v>
      </c>
      <c r="Q164" s="27" t="str">
        <f t="shared" si="16"/>
        <v>Everyone else</v>
      </c>
      <c r="R164" s="27" t="str">
        <f t="shared" si="17"/>
        <v>Everyone else</v>
      </c>
    </row>
    <row r="165" spans="1:18" ht="15" customHeight="1" x14ac:dyDescent="0.25">
      <c r="A165" s="25" t="s">
        <v>335</v>
      </c>
      <c r="B165" s="26" t="s">
        <v>73</v>
      </c>
      <c r="C165" s="25" t="s">
        <v>88</v>
      </c>
      <c r="D165" s="25">
        <v>5</v>
      </c>
      <c r="E165" s="25">
        <v>3</v>
      </c>
      <c r="F165" s="25">
        <v>5</v>
      </c>
      <c r="G165" s="25">
        <v>3</v>
      </c>
      <c r="H165" s="25">
        <v>3</v>
      </c>
      <c r="I165" s="25">
        <v>8</v>
      </c>
      <c r="J165" s="26" t="s">
        <v>336</v>
      </c>
      <c r="K165" s="26" t="s">
        <v>525</v>
      </c>
      <c r="L165" s="25" t="s">
        <v>515</v>
      </c>
      <c r="M165" s="27" t="str">
        <f t="shared" si="12"/>
        <v>Everyone else</v>
      </c>
      <c r="N165" s="27" t="str">
        <f t="shared" si="13"/>
        <v>Everyone else</v>
      </c>
      <c r="O165" s="27" t="str">
        <f t="shared" si="14"/>
        <v>Everyone else</v>
      </c>
      <c r="P165" s="27" t="str">
        <f t="shared" si="15"/>
        <v>Everyone else</v>
      </c>
      <c r="Q165" s="27" t="str">
        <f t="shared" si="16"/>
        <v>Everyone else</v>
      </c>
      <c r="R165" s="27" t="str">
        <f t="shared" si="17"/>
        <v>Everyone else</v>
      </c>
    </row>
    <row r="166" spans="1:18" ht="34.5" customHeight="1" x14ac:dyDescent="0.25">
      <c r="A166" s="25" t="s">
        <v>337</v>
      </c>
      <c r="B166" s="26" t="s">
        <v>118</v>
      </c>
      <c r="C166" s="25" t="s">
        <v>88</v>
      </c>
      <c r="D166" s="25">
        <v>3</v>
      </c>
      <c r="E166" s="25">
        <v>2</v>
      </c>
      <c r="F166" s="25">
        <v>2</v>
      </c>
      <c r="G166" s="25">
        <v>3</v>
      </c>
      <c r="H166" s="25">
        <v>3</v>
      </c>
      <c r="I166" s="25">
        <v>3</v>
      </c>
      <c r="J166" s="26" t="s">
        <v>258</v>
      </c>
      <c r="K166" s="26" t="s">
        <v>525</v>
      </c>
      <c r="L166" s="25" t="s">
        <v>519</v>
      </c>
      <c r="M166" s="27" t="str">
        <f t="shared" si="12"/>
        <v>Everyone else</v>
      </c>
      <c r="N166" s="27" t="str">
        <f t="shared" si="13"/>
        <v>Everyone else</v>
      </c>
      <c r="O166" s="27" t="str">
        <f t="shared" si="14"/>
        <v>Everyone else</v>
      </c>
      <c r="P166" s="27" t="str">
        <f t="shared" si="15"/>
        <v>Everyone else</v>
      </c>
      <c r="Q166" s="27" t="str">
        <f t="shared" si="16"/>
        <v>Pay and benefits Negative</v>
      </c>
      <c r="R166" s="27" t="str">
        <f t="shared" si="17"/>
        <v>Everyone else</v>
      </c>
    </row>
    <row r="167" spans="1:18" ht="23.25" customHeight="1" x14ac:dyDescent="0.25">
      <c r="A167" s="25" t="s">
        <v>338</v>
      </c>
      <c r="B167" s="26" t="s">
        <v>77</v>
      </c>
      <c r="C167" s="25" t="s">
        <v>74</v>
      </c>
      <c r="D167" s="25">
        <v>3</v>
      </c>
      <c r="E167" s="25">
        <v>5</v>
      </c>
      <c r="F167" s="25">
        <v>4</v>
      </c>
      <c r="G167" s="25">
        <v>4</v>
      </c>
      <c r="H167" s="25">
        <v>3</v>
      </c>
      <c r="I167" s="25">
        <v>7</v>
      </c>
      <c r="J167" s="26" t="s">
        <v>339</v>
      </c>
      <c r="K167" s="26" t="s">
        <v>532</v>
      </c>
      <c r="L167" s="25" t="s">
        <v>515</v>
      </c>
      <c r="M167" s="27" t="str">
        <f t="shared" si="12"/>
        <v>Everyone else</v>
      </c>
      <c r="N167" s="27" t="str">
        <f t="shared" si="13"/>
        <v>Everyone else</v>
      </c>
      <c r="O167" s="27" t="str">
        <f t="shared" si="14"/>
        <v>Everyone else</v>
      </c>
      <c r="P167" s="27" t="str">
        <f t="shared" si="15"/>
        <v>Everyone else</v>
      </c>
      <c r="Q167" s="27" t="str">
        <f t="shared" si="16"/>
        <v>Everyone else</v>
      </c>
      <c r="R167" s="27" t="str">
        <f t="shared" si="17"/>
        <v>Everyone else</v>
      </c>
    </row>
    <row r="168" spans="1:18" ht="34.5" customHeight="1" x14ac:dyDescent="0.25">
      <c r="A168" s="25" t="s">
        <v>340</v>
      </c>
      <c r="B168" s="26" t="s">
        <v>118</v>
      </c>
      <c r="C168" s="25" t="s">
        <v>88</v>
      </c>
      <c r="D168" s="25">
        <v>3</v>
      </c>
      <c r="E168" s="25">
        <v>4</v>
      </c>
      <c r="F168" s="25">
        <v>2</v>
      </c>
      <c r="G168" s="25">
        <v>2</v>
      </c>
      <c r="H168" s="25">
        <v>4</v>
      </c>
      <c r="I168" s="25">
        <v>3</v>
      </c>
      <c r="J168" s="26" t="s">
        <v>95</v>
      </c>
      <c r="K168" s="26" t="s">
        <v>522</v>
      </c>
      <c r="L168" s="25" t="s">
        <v>519</v>
      </c>
      <c r="M168" s="27" t="str">
        <f t="shared" si="12"/>
        <v>Manager support Negative</v>
      </c>
      <c r="N168" s="27" t="str">
        <f t="shared" si="13"/>
        <v>Everyone else</v>
      </c>
      <c r="O168" s="27" t="str">
        <f t="shared" si="14"/>
        <v>Everyone else</v>
      </c>
      <c r="P168" s="27" t="str">
        <f t="shared" si="15"/>
        <v>Everyone else</v>
      </c>
      <c r="Q168" s="27" t="str">
        <f t="shared" si="16"/>
        <v>Pay and benefits Negative</v>
      </c>
      <c r="R168" s="27" t="str">
        <f t="shared" si="17"/>
        <v>Everyone else</v>
      </c>
    </row>
    <row r="169" spans="1:18" ht="34.5" customHeight="1" x14ac:dyDescent="0.25">
      <c r="A169" s="25" t="s">
        <v>341</v>
      </c>
      <c r="B169" s="26" t="s">
        <v>118</v>
      </c>
      <c r="C169" s="25" t="s">
        <v>88</v>
      </c>
      <c r="D169" s="25">
        <v>4</v>
      </c>
      <c r="E169" s="25">
        <v>3</v>
      </c>
      <c r="F169" s="25">
        <v>2</v>
      </c>
      <c r="G169" s="25">
        <v>3</v>
      </c>
      <c r="H169" s="25">
        <v>4</v>
      </c>
      <c r="I169" s="25">
        <v>4</v>
      </c>
      <c r="J169" s="26" t="s">
        <v>342</v>
      </c>
      <c r="K169" s="26" t="s">
        <v>524</v>
      </c>
      <c r="L169" s="25" t="s">
        <v>519</v>
      </c>
      <c r="M169" s="27" t="str">
        <f t="shared" si="12"/>
        <v>Everyone else</v>
      </c>
      <c r="N169" s="27" t="str">
        <f t="shared" si="13"/>
        <v>Everyone else</v>
      </c>
      <c r="O169" s="27" t="str">
        <f t="shared" si="14"/>
        <v>Workload Negative</v>
      </c>
      <c r="P169" s="27" t="str">
        <f t="shared" si="15"/>
        <v>Tools and systems Negative</v>
      </c>
      <c r="Q169" s="27" t="str">
        <f t="shared" si="16"/>
        <v>Everyone else</v>
      </c>
      <c r="R169" s="27" t="str">
        <f t="shared" si="17"/>
        <v>Everyone else</v>
      </c>
    </row>
    <row r="170" spans="1:18" ht="23.25" customHeight="1" x14ac:dyDescent="0.25">
      <c r="A170" s="25" t="s">
        <v>343</v>
      </c>
      <c r="B170" s="26" t="s">
        <v>82</v>
      </c>
      <c r="C170" s="25" t="s">
        <v>88</v>
      </c>
      <c r="D170" s="25">
        <v>3</v>
      </c>
      <c r="E170" s="25">
        <v>4</v>
      </c>
      <c r="F170" s="25">
        <v>4</v>
      </c>
      <c r="G170" s="25">
        <v>5</v>
      </c>
      <c r="H170" s="25">
        <v>4</v>
      </c>
      <c r="I170" s="25">
        <v>4</v>
      </c>
      <c r="J170" s="26" t="s">
        <v>344</v>
      </c>
      <c r="K170" s="26" t="s">
        <v>535</v>
      </c>
      <c r="L170" s="25" t="s">
        <v>515</v>
      </c>
      <c r="M170" s="27" t="str">
        <f t="shared" si="12"/>
        <v>Everyone else</v>
      </c>
      <c r="N170" s="27" t="str">
        <f t="shared" si="13"/>
        <v>Everyone else</v>
      </c>
      <c r="O170" s="27" t="str">
        <f t="shared" si="14"/>
        <v>Everyone else</v>
      </c>
      <c r="P170" s="27" t="str">
        <f t="shared" si="15"/>
        <v>Everyone else</v>
      </c>
      <c r="Q170" s="27" t="str">
        <f t="shared" si="16"/>
        <v>Everyone else</v>
      </c>
      <c r="R170" s="27" t="str">
        <f t="shared" si="17"/>
        <v>Everyone else</v>
      </c>
    </row>
    <row r="171" spans="1:18" ht="34.5" customHeight="1" x14ac:dyDescent="0.25">
      <c r="A171" s="25" t="s">
        <v>345</v>
      </c>
      <c r="B171" s="26" t="s">
        <v>108</v>
      </c>
      <c r="C171" s="25" t="s">
        <v>94</v>
      </c>
      <c r="D171" s="25">
        <v>3</v>
      </c>
      <c r="E171" s="25">
        <v>3</v>
      </c>
      <c r="F171" s="25">
        <v>2</v>
      </c>
      <c r="G171" s="25">
        <v>3</v>
      </c>
      <c r="H171" s="25">
        <v>3</v>
      </c>
      <c r="I171" s="25">
        <v>1</v>
      </c>
      <c r="J171" s="26" t="s">
        <v>255</v>
      </c>
      <c r="K171" s="26" t="s">
        <v>522</v>
      </c>
      <c r="L171" s="25" t="s">
        <v>519</v>
      </c>
      <c r="M171" s="27" t="str">
        <f t="shared" si="12"/>
        <v>Manager support Negative</v>
      </c>
      <c r="N171" s="27" t="str">
        <f t="shared" si="13"/>
        <v>Everyone else</v>
      </c>
      <c r="O171" s="27" t="str">
        <f t="shared" si="14"/>
        <v>Everyone else</v>
      </c>
      <c r="P171" s="27" t="str">
        <f t="shared" si="15"/>
        <v>Everyone else</v>
      </c>
      <c r="Q171" s="27" t="str">
        <f t="shared" si="16"/>
        <v>Pay and benefits Negative</v>
      </c>
      <c r="R171" s="27" t="str">
        <f t="shared" si="17"/>
        <v>Everyone else</v>
      </c>
    </row>
    <row r="172" spans="1:18" ht="15" customHeight="1" x14ac:dyDescent="0.25">
      <c r="A172" s="25" t="s">
        <v>346</v>
      </c>
      <c r="B172" s="26" t="s">
        <v>91</v>
      </c>
      <c r="C172" s="25" t="s">
        <v>74</v>
      </c>
      <c r="D172" s="25">
        <v>4</v>
      </c>
      <c r="E172" s="25">
        <v>4</v>
      </c>
      <c r="F172" s="25">
        <v>4</v>
      </c>
      <c r="G172" s="25">
        <v>3</v>
      </c>
      <c r="H172" s="25">
        <v>4</v>
      </c>
      <c r="I172" s="25">
        <v>7</v>
      </c>
      <c r="J172" s="26" t="s">
        <v>125</v>
      </c>
      <c r="K172" s="26" t="s">
        <v>528</v>
      </c>
      <c r="L172" s="25" t="s">
        <v>515</v>
      </c>
      <c r="M172" s="27" t="str">
        <f t="shared" si="12"/>
        <v>Everyone else</v>
      </c>
      <c r="N172" s="27" t="str">
        <f t="shared" si="13"/>
        <v>Everyone else</v>
      </c>
      <c r="O172" s="27" t="str">
        <f t="shared" si="14"/>
        <v>Everyone else</v>
      </c>
      <c r="P172" s="27" t="str">
        <f t="shared" si="15"/>
        <v>Everyone else</v>
      </c>
      <c r="Q172" s="27" t="str">
        <f t="shared" si="16"/>
        <v>Everyone else</v>
      </c>
      <c r="R172" s="27" t="str">
        <f t="shared" si="17"/>
        <v>Everyone else</v>
      </c>
    </row>
    <row r="173" spans="1:18" ht="15" customHeight="1" x14ac:dyDescent="0.25">
      <c r="A173" s="25" t="s">
        <v>347</v>
      </c>
      <c r="B173" s="26" t="s">
        <v>108</v>
      </c>
      <c r="C173" s="25" t="s">
        <v>94</v>
      </c>
      <c r="D173" s="25">
        <v>2</v>
      </c>
      <c r="E173" s="25">
        <v>5</v>
      </c>
      <c r="F173" s="25">
        <v>4</v>
      </c>
      <c r="G173" s="25">
        <v>4</v>
      </c>
      <c r="H173" s="25">
        <v>5</v>
      </c>
      <c r="I173" s="25">
        <v>10</v>
      </c>
      <c r="J173" s="26" t="s">
        <v>75</v>
      </c>
      <c r="K173" s="26" t="s">
        <v>514</v>
      </c>
      <c r="L173" s="25" t="s">
        <v>515</v>
      </c>
      <c r="M173" s="27" t="str">
        <f t="shared" si="12"/>
        <v>Everyone else</v>
      </c>
      <c r="N173" s="27" t="str">
        <f t="shared" si="13"/>
        <v>Everyone else</v>
      </c>
      <c r="O173" s="27" t="str">
        <f t="shared" si="14"/>
        <v>Everyone else</v>
      </c>
      <c r="P173" s="27" t="str">
        <f t="shared" si="15"/>
        <v>Everyone else</v>
      </c>
      <c r="Q173" s="27" t="str">
        <f t="shared" si="16"/>
        <v>Everyone else</v>
      </c>
      <c r="R173" s="27" t="str">
        <f t="shared" si="17"/>
        <v>Everyone else</v>
      </c>
    </row>
    <row r="174" spans="1:18" ht="23.25" customHeight="1" x14ac:dyDescent="0.25">
      <c r="A174" s="25" t="s">
        <v>348</v>
      </c>
      <c r="B174" s="26" t="s">
        <v>77</v>
      </c>
      <c r="C174" s="25" t="s">
        <v>88</v>
      </c>
      <c r="D174" s="25">
        <v>4</v>
      </c>
      <c r="E174" s="25">
        <v>4</v>
      </c>
      <c r="F174" s="25">
        <v>3</v>
      </c>
      <c r="G174" s="25">
        <v>4</v>
      </c>
      <c r="H174" s="25">
        <v>2</v>
      </c>
      <c r="I174" s="25">
        <v>4</v>
      </c>
      <c r="J174" s="26" t="s">
        <v>101</v>
      </c>
      <c r="K174" s="26" t="s">
        <v>516</v>
      </c>
      <c r="L174" s="25" t="s">
        <v>519</v>
      </c>
      <c r="M174" s="27" t="str">
        <f t="shared" si="12"/>
        <v>Everyone else</v>
      </c>
      <c r="N174" s="27" t="str">
        <f t="shared" si="13"/>
        <v>Flexibility Negative</v>
      </c>
      <c r="O174" s="27" t="str">
        <f t="shared" si="14"/>
        <v>Everyone else</v>
      </c>
      <c r="P174" s="27" t="str">
        <f t="shared" si="15"/>
        <v>Everyone else</v>
      </c>
      <c r="Q174" s="27" t="str">
        <f t="shared" si="16"/>
        <v>Everyone else</v>
      </c>
      <c r="R174" s="27" t="str">
        <f t="shared" si="17"/>
        <v>Everyone else</v>
      </c>
    </row>
    <row r="175" spans="1:18" ht="23.25" customHeight="1" x14ac:dyDescent="0.25">
      <c r="A175" s="25" t="s">
        <v>349</v>
      </c>
      <c r="B175" s="26" t="s">
        <v>108</v>
      </c>
      <c r="C175" s="25" t="s">
        <v>74</v>
      </c>
      <c r="D175" s="25">
        <v>4</v>
      </c>
      <c r="E175" s="25">
        <v>2</v>
      </c>
      <c r="F175" s="25">
        <v>3</v>
      </c>
      <c r="G175" s="25">
        <v>3</v>
      </c>
      <c r="H175" s="25">
        <v>2</v>
      </c>
      <c r="I175" s="25">
        <v>3</v>
      </c>
      <c r="J175" s="26" t="s">
        <v>89</v>
      </c>
      <c r="K175" s="26" t="s">
        <v>521</v>
      </c>
      <c r="L175" s="25" t="s">
        <v>519</v>
      </c>
      <c r="M175" s="27" t="str">
        <f t="shared" si="12"/>
        <v>Everyone else</v>
      </c>
      <c r="N175" s="27" t="str">
        <f t="shared" si="13"/>
        <v>Everyone else</v>
      </c>
      <c r="O175" s="27" t="str">
        <f t="shared" si="14"/>
        <v>Workload Negative</v>
      </c>
      <c r="P175" s="27" t="str">
        <f t="shared" si="15"/>
        <v>Everyone else</v>
      </c>
      <c r="Q175" s="27" t="str">
        <f t="shared" si="16"/>
        <v>Everyone else</v>
      </c>
      <c r="R175" s="27" t="str">
        <f t="shared" si="17"/>
        <v>Everyone else</v>
      </c>
    </row>
    <row r="176" spans="1:18" ht="23.25" customHeight="1" x14ac:dyDescent="0.25">
      <c r="A176" s="25" t="s">
        <v>350</v>
      </c>
      <c r="B176" s="26" t="s">
        <v>118</v>
      </c>
      <c r="C176" s="25" t="s">
        <v>88</v>
      </c>
      <c r="D176" s="25">
        <v>4</v>
      </c>
      <c r="E176" s="25">
        <v>2</v>
      </c>
      <c r="F176" s="25">
        <v>3</v>
      </c>
      <c r="G176" s="25">
        <v>4</v>
      </c>
      <c r="H176" s="25">
        <v>3</v>
      </c>
      <c r="I176" s="25">
        <v>4</v>
      </c>
      <c r="J176" s="26" t="s">
        <v>141</v>
      </c>
      <c r="K176" s="26" t="s">
        <v>521</v>
      </c>
      <c r="L176" s="25" t="s">
        <v>519</v>
      </c>
      <c r="M176" s="27" t="str">
        <f t="shared" si="12"/>
        <v>Everyone else</v>
      </c>
      <c r="N176" s="27" t="str">
        <f t="shared" si="13"/>
        <v>Everyone else</v>
      </c>
      <c r="O176" s="27" t="str">
        <f t="shared" si="14"/>
        <v>Workload Negative</v>
      </c>
      <c r="P176" s="27" t="str">
        <f t="shared" si="15"/>
        <v>Everyone else</v>
      </c>
      <c r="Q176" s="27" t="str">
        <f t="shared" si="16"/>
        <v>Everyone else</v>
      </c>
      <c r="R176" s="27" t="str">
        <f t="shared" si="17"/>
        <v>Everyone else</v>
      </c>
    </row>
    <row r="177" spans="1:18" ht="23.25" customHeight="1" x14ac:dyDescent="0.25">
      <c r="A177" s="25" t="s">
        <v>351</v>
      </c>
      <c r="B177" s="26" t="s">
        <v>91</v>
      </c>
      <c r="C177" s="25" t="s">
        <v>94</v>
      </c>
      <c r="D177" s="25">
        <v>4</v>
      </c>
      <c r="E177" s="25">
        <v>3</v>
      </c>
      <c r="F177" s="25">
        <v>5</v>
      </c>
      <c r="G177" s="25">
        <v>3</v>
      </c>
      <c r="H177" s="25">
        <v>5</v>
      </c>
      <c r="I177" s="25">
        <v>10</v>
      </c>
      <c r="J177" s="26" t="s">
        <v>144</v>
      </c>
      <c r="K177" s="26" t="s">
        <v>533</v>
      </c>
      <c r="L177" s="25" t="s">
        <v>515</v>
      </c>
      <c r="M177" s="27" t="str">
        <f t="shared" si="12"/>
        <v>Everyone else</v>
      </c>
      <c r="N177" s="27" t="str">
        <f t="shared" si="13"/>
        <v>Everyone else</v>
      </c>
      <c r="O177" s="27" t="str">
        <f t="shared" si="14"/>
        <v>Everyone else</v>
      </c>
      <c r="P177" s="27" t="str">
        <f t="shared" si="15"/>
        <v>Everyone else</v>
      </c>
      <c r="Q177" s="27" t="str">
        <f t="shared" si="16"/>
        <v>Everyone else</v>
      </c>
      <c r="R177" s="27" t="str">
        <f t="shared" si="17"/>
        <v>Everyone else</v>
      </c>
    </row>
    <row r="178" spans="1:18" ht="15" customHeight="1" x14ac:dyDescent="0.25">
      <c r="A178" s="25" t="s">
        <v>352</v>
      </c>
      <c r="B178" s="26" t="s">
        <v>108</v>
      </c>
      <c r="C178" s="25" t="s">
        <v>85</v>
      </c>
      <c r="D178" s="25">
        <v>3</v>
      </c>
      <c r="E178" s="25">
        <v>2</v>
      </c>
      <c r="F178" s="25">
        <v>4</v>
      </c>
      <c r="G178" s="25">
        <v>4</v>
      </c>
      <c r="H178" s="25">
        <v>4</v>
      </c>
      <c r="I178" s="25">
        <v>7</v>
      </c>
      <c r="J178" s="26" t="s">
        <v>172</v>
      </c>
      <c r="K178" s="26" t="s">
        <v>520</v>
      </c>
      <c r="L178" s="25" t="s">
        <v>515</v>
      </c>
      <c r="M178" s="27" t="str">
        <f t="shared" si="12"/>
        <v>Everyone else</v>
      </c>
      <c r="N178" s="27" t="str">
        <f t="shared" si="13"/>
        <v>Everyone else</v>
      </c>
      <c r="O178" s="27" t="str">
        <f t="shared" si="14"/>
        <v>Everyone else</v>
      </c>
      <c r="P178" s="27" t="str">
        <f t="shared" si="15"/>
        <v>Everyone else</v>
      </c>
      <c r="Q178" s="27" t="str">
        <f t="shared" si="16"/>
        <v>Everyone else</v>
      </c>
      <c r="R178" s="27" t="str">
        <f t="shared" si="17"/>
        <v>Everyone else</v>
      </c>
    </row>
    <row r="179" spans="1:18" ht="34.5" customHeight="1" x14ac:dyDescent="0.25">
      <c r="A179" s="25" t="s">
        <v>353</v>
      </c>
      <c r="B179" s="26" t="s">
        <v>77</v>
      </c>
      <c r="C179" s="25" t="s">
        <v>88</v>
      </c>
      <c r="D179" s="25">
        <v>2</v>
      </c>
      <c r="E179" s="25">
        <v>3</v>
      </c>
      <c r="F179" s="25">
        <v>4</v>
      </c>
      <c r="G179" s="25">
        <v>2</v>
      </c>
      <c r="H179" s="25">
        <v>4</v>
      </c>
      <c r="I179" s="25">
        <v>5</v>
      </c>
      <c r="J179" s="26" t="s">
        <v>354</v>
      </c>
      <c r="K179" s="26" t="s">
        <v>540</v>
      </c>
      <c r="L179" s="25" t="s">
        <v>519</v>
      </c>
      <c r="M179" s="27" t="str">
        <f t="shared" si="12"/>
        <v>Everyone else</v>
      </c>
      <c r="N179" s="27" t="str">
        <f t="shared" si="13"/>
        <v>Flexibility Negative</v>
      </c>
      <c r="O179" s="27" t="str">
        <f t="shared" si="14"/>
        <v>Everyone else</v>
      </c>
      <c r="P179" s="27" t="str">
        <f t="shared" si="15"/>
        <v>Tools and systems Negative</v>
      </c>
      <c r="Q179" s="27" t="str">
        <f t="shared" si="16"/>
        <v>Everyone else</v>
      </c>
      <c r="R179" s="27" t="str">
        <f t="shared" si="17"/>
        <v>Everyone else</v>
      </c>
    </row>
    <row r="180" spans="1:18" ht="34.5" customHeight="1" x14ac:dyDescent="0.25">
      <c r="A180" s="25" t="s">
        <v>355</v>
      </c>
      <c r="B180" s="26" t="s">
        <v>82</v>
      </c>
      <c r="C180" s="25" t="s">
        <v>88</v>
      </c>
      <c r="D180" s="25">
        <v>3</v>
      </c>
      <c r="E180" s="25">
        <v>3</v>
      </c>
      <c r="F180" s="25">
        <v>3</v>
      </c>
      <c r="G180" s="25">
        <v>2</v>
      </c>
      <c r="H180" s="25">
        <v>3</v>
      </c>
      <c r="I180" s="25">
        <v>2</v>
      </c>
      <c r="J180" s="26" t="s">
        <v>356</v>
      </c>
      <c r="K180" s="26" t="s">
        <v>517</v>
      </c>
      <c r="L180" s="25" t="s">
        <v>519</v>
      </c>
      <c r="M180" s="27" t="str">
        <f t="shared" si="12"/>
        <v>Manager support Negative</v>
      </c>
      <c r="N180" s="27" t="str">
        <f t="shared" si="13"/>
        <v>Flexibility Negative</v>
      </c>
      <c r="O180" s="27" t="str">
        <f t="shared" si="14"/>
        <v>Everyone else</v>
      </c>
      <c r="P180" s="27" t="str">
        <f t="shared" si="15"/>
        <v>Everyone else</v>
      </c>
      <c r="Q180" s="27" t="str">
        <f t="shared" si="16"/>
        <v>Everyone else</v>
      </c>
      <c r="R180" s="27" t="str">
        <f t="shared" si="17"/>
        <v>Everyone else</v>
      </c>
    </row>
    <row r="181" spans="1:18" ht="23.25" customHeight="1" x14ac:dyDescent="0.25">
      <c r="A181" s="25" t="s">
        <v>357</v>
      </c>
      <c r="B181" s="26" t="s">
        <v>108</v>
      </c>
      <c r="C181" s="25" t="s">
        <v>74</v>
      </c>
      <c r="D181" s="25">
        <v>4</v>
      </c>
      <c r="E181" s="25">
        <v>3</v>
      </c>
      <c r="F181" s="25">
        <v>2</v>
      </c>
      <c r="G181" s="25">
        <v>3</v>
      </c>
      <c r="H181" s="25">
        <v>4</v>
      </c>
      <c r="I181" s="25">
        <v>3</v>
      </c>
      <c r="J181" s="26" t="s">
        <v>358</v>
      </c>
      <c r="K181" s="26" t="s">
        <v>529</v>
      </c>
      <c r="L181" s="25" t="s">
        <v>519</v>
      </c>
      <c r="M181" s="27" t="str">
        <f t="shared" si="12"/>
        <v>Everyone else</v>
      </c>
      <c r="N181" s="27" t="str">
        <f t="shared" si="13"/>
        <v>Flexibility Negative</v>
      </c>
      <c r="O181" s="27" t="str">
        <f t="shared" si="14"/>
        <v>Everyone else</v>
      </c>
      <c r="P181" s="27" t="str">
        <f t="shared" si="15"/>
        <v>Everyone else</v>
      </c>
      <c r="Q181" s="27" t="str">
        <f t="shared" si="16"/>
        <v>Everyone else</v>
      </c>
      <c r="R181" s="27" t="str">
        <f t="shared" si="17"/>
        <v>Career growth Negative</v>
      </c>
    </row>
    <row r="182" spans="1:18" ht="23.25" customHeight="1" x14ac:dyDescent="0.25">
      <c r="A182" s="25" t="s">
        <v>359</v>
      </c>
      <c r="B182" s="26" t="s">
        <v>108</v>
      </c>
      <c r="C182" s="25" t="s">
        <v>94</v>
      </c>
      <c r="D182" s="25">
        <v>2</v>
      </c>
      <c r="E182" s="25">
        <v>4</v>
      </c>
      <c r="F182" s="25">
        <v>3</v>
      </c>
      <c r="G182" s="25">
        <v>4</v>
      </c>
      <c r="H182" s="25">
        <v>3</v>
      </c>
      <c r="I182" s="25">
        <v>5</v>
      </c>
      <c r="J182" s="26" t="s">
        <v>101</v>
      </c>
      <c r="K182" s="26" t="s">
        <v>516</v>
      </c>
      <c r="L182" s="25" t="s">
        <v>519</v>
      </c>
      <c r="M182" s="27" t="str">
        <f t="shared" si="12"/>
        <v>Everyone else</v>
      </c>
      <c r="N182" s="27" t="str">
        <f t="shared" si="13"/>
        <v>Flexibility Negative</v>
      </c>
      <c r="O182" s="27" t="str">
        <f t="shared" si="14"/>
        <v>Everyone else</v>
      </c>
      <c r="P182" s="27" t="str">
        <f t="shared" si="15"/>
        <v>Everyone else</v>
      </c>
      <c r="Q182" s="27" t="str">
        <f t="shared" si="16"/>
        <v>Everyone else</v>
      </c>
      <c r="R182" s="27" t="str">
        <f t="shared" si="17"/>
        <v>Everyone else</v>
      </c>
    </row>
    <row r="183" spans="1:18" ht="34.5" customHeight="1" x14ac:dyDescent="0.25">
      <c r="A183" s="25" t="s">
        <v>360</v>
      </c>
      <c r="B183" s="26" t="s">
        <v>77</v>
      </c>
      <c r="C183" s="25" t="s">
        <v>85</v>
      </c>
      <c r="D183" s="25">
        <v>1</v>
      </c>
      <c r="E183" s="25">
        <v>3</v>
      </c>
      <c r="F183" s="25">
        <v>2</v>
      </c>
      <c r="G183" s="25">
        <v>4</v>
      </c>
      <c r="H183" s="25">
        <v>3</v>
      </c>
      <c r="I183" s="25">
        <v>4</v>
      </c>
      <c r="J183" s="26" t="s">
        <v>111</v>
      </c>
      <c r="K183" s="26" t="s">
        <v>525</v>
      </c>
      <c r="L183" s="25" t="s">
        <v>519</v>
      </c>
      <c r="M183" s="27" t="str">
        <f t="shared" si="12"/>
        <v>Everyone else</v>
      </c>
      <c r="N183" s="27" t="str">
        <f t="shared" si="13"/>
        <v>Everyone else</v>
      </c>
      <c r="O183" s="27" t="str">
        <f t="shared" si="14"/>
        <v>Everyone else</v>
      </c>
      <c r="P183" s="27" t="str">
        <f t="shared" si="15"/>
        <v>Everyone else</v>
      </c>
      <c r="Q183" s="27" t="str">
        <f t="shared" si="16"/>
        <v>Pay and benefits Negative</v>
      </c>
      <c r="R183" s="27" t="str">
        <f t="shared" si="17"/>
        <v>Everyone else</v>
      </c>
    </row>
    <row r="184" spans="1:18" ht="34.5" customHeight="1" x14ac:dyDescent="0.25">
      <c r="A184" s="25" t="s">
        <v>361</v>
      </c>
      <c r="B184" s="26" t="s">
        <v>108</v>
      </c>
      <c r="C184" s="25" t="s">
        <v>94</v>
      </c>
      <c r="D184" s="25">
        <v>4</v>
      </c>
      <c r="E184" s="25">
        <v>3</v>
      </c>
      <c r="F184" s="25">
        <v>3</v>
      </c>
      <c r="G184" s="25">
        <v>2</v>
      </c>
      <c r="H184" s="25">
        <v>1</v>
      </c>
      <c r="I184" s="25">
        <v>5</v>
      </c>
      <c r="J184" s="26" t="s">
        <v>362</v>
      </c>
      <c r="K184" s="26" t="s">
        <v>527</v>
      </c>
      <c r="L184" s="25" t="s">
        <v>519</v>
      </c>
      <c r="M184" s="27" t="str">
        <f t="shared" si="12"/>
        <v>Manager support Negative</v>
      </c>
      <c r="N184" s="27" t="str">
        <f t="shared" si="13"/>
        <v>Everyone else</v>
      </c>
      <c r="O184" s="27" t="str">
        <f t="shared" si="14"/>
        <v>Everyone else</v>
      </c>
      <c r="P184" s="27" t="str">
        <f t="shared" si="15"/>
        <v>Everyone else</v>
      </c>
      <c r="Q184" s="27" t="str">
        <f t="shared" si="16"/>
        <v>Pay and benefits Negative</v>
      </c>
      <c r="R184" s="27" t="str">
        <f t="shared" si="17"/>
        <v>Everyone else</v>
      </c>
    </row>
    <row r="185" spans="1:18" ht="23.25" customHeight="1" x14ac:dyDescent="0.25">
      <c r="A185" s="25" t="s">
        <v>363</v>
      </c>
      <c r="B185" s="26" t="s">
        <v>77</v>
      </c>
      <c r="C185" s="25" t="s">
        <v>74</v>
      </c>
      <c r="D185" s="25">
        <v>4</v>
      </c>
      <c r="E185" s="25">
        <v>3</v>
      </c>
      <c r="F185" s="25">
        <v>3</v>
      </c>
      <c r="G185" s="25">
        <v>2</v>
      </c>
      <c r="H185" s="25">
        <v>2</v>
      </c>
      <c r="I185" s="25">
        <v>7</v>
      </c>
      <c r="J185" s="26" t="s">
        <v>279</v>
      </c>
      <c r="K185" s="26" t="s">
        <v>529</v>
      </c>
      <c r="L185" s="25" t="s">
        <v>519</v>
      </c>
      <c r="M185" s="27" t="str">
        <f t="shared" si="12"/>
        <v>Everyone else</v>
      </c>
      <c r="N185" s="27" t="str">
        <f t="shared" si="13"/>
        <v>Flexibility Negative</v>
      </c>
      <c r="O185" s="27" t="str">
        <f t="shared" si="14"/>
        <v>Everyone else</v>
      </c>
      <c r="P185" s="27" t="str">
        <f t="shared" si="15"/>
        <v>Everyone else</v>
      </c>
      <c r="Q185" s="27" t="str">
        <f t="shared" si="16"/>
        <v>Everyone else</v>
      </c>
      <c r="R185" s="27" t="str">
        <f t="shared" si="17"/>
        <v>Career growth Negative</v>
      </c>
    </row>
    <row r="186" spans="1:18" ht="15" customHeight="1" x14ac:dyDescent="0.25">
      <c r="A186" s="25" t="s">
        <v>364</v>
      </c>
      <c r="B186" s="26" t="s">
        <v>91</v>
      </c>
      <c r="C186" s="25" t="s">
        <v>74</v>
      </c>
      <c r="D186" s="25">
        <v>4</v>
      </c>
      <c r="E186" s="25">
        <v>4</v>
      </c>
      <c r="F186" s="25">
        <v>4</v>
      </c>
      <c r="G186" s="25">
        <v>4</v>
      </c>
      <c r="H186" s="25">
        <v>3</v>
      </c>
      <c r="I186" s="25">
        <v>6</v>
      </c>
      <c r="J186" s="26" t="s">
        <v>365</v>
      </c>
      <c r="K186" s="26" t="s">
        <v>523</v>
      </c>
      <c r="L186" s="25" t="s">
        <v>515</v>
      </c>
      <c r="M186" s="27" t="str">
        <f t="shared" si="12"/>
        <v>Everyone else</v>
      </c>
      <c r="N186" s="27" t="str">
        <f t="shared" si="13"/>
        <v>Everyone else</v>
      </c>
      <c r="O186" s="27" t="str">
        <f t="shared" si="14"/>
        <v>Everyone else</v>
      </c>
      <c r="P186" s="27" t="str">
        <f t="shared" si="15"/>
        <v>Everyone else</v>
      </c>
      <c r="Q186" s="27" t="str">
        <f t="shared" si="16"/>
        <v>Everyone else</v>
      </c>
      <c r="R186" s="27" t="str">
        <f t="shared" si="17"/>
        <v>Everyone else</v>
      </c>
    </row>
    <row r="187" spans="1:18" ht="23.25" customHeight="1" x14ac:dyDescent="0.25">
      <c r="A187" s="25" t="s">
        <v>366</v>
      </c>
      <c r="B187" s="26" t="s">
        <v>108</v>
      </c>
      <c r="C187" s="25" t="s">
        <v>94</v>
      </c>
      <c r="D187" s="25">
        <v>2</v>
      </c>
      <c r="E187" s="25">
        <v>4</v>
      </c>
      <c r="F187" s="25">
        <v>3</v>
      </c>
      <c r="G187" s="25">
        <v>4</v>
      </c>
      <c r="H187" s="25">
        <v>4</v>
      </c>
      <c r="I187" s="25">
        <v>10</v>
      </c>
      <c r="J187" s="26" t="s">
        <v>344</v>
      </c>
      <c r="K187" s="26" t="s">
        <v>535</v>
      </c>
      <c r="L187" s="25" t="s">
        <v>515</v>
      </c>
      <c r="M187" s="27" t="str">
        <f t="shared" si="12"/>
        <v>Everyone else</v>
      </c>
      <c r="N187" s="27" t="str">
        <f t="shared" si="13"/>
        <v>Everyone else</v>
      </c>
      <c r="O187" s="27" t="str">
        <f t="shared" si="14"/>
        <v>Everyone else</v>
      </c>
      <c r="P187" s="27" t="str">
        <f t="shared" si="15"/>
        <v>Everyone else</v>
      </c>
      <c r="Q187" s="27" t="str">
        <f t="shared" si="16"/>
        <v>Everyone else</v>
      </c>
      <c r="R187" s="27" t="str">
        <f t="shared" si="17"/>
        <v>Everyone else</v>
      </c>
    </row>
    <row r="188" spans="1:18" ht="15" customHeight="1" x14ac:dyDescent="0.25">
      <c r="A188" s="25" t="s">
        <v>367</v>
      </c>
      <c r="B188" s="26" t="s">
        <v>91</v>
      </c>
      <c r="C188" s="25" t="s">
        <v>85</v>
      </c>
      <c r="D188" s="25">
        <v>4</v>
      </c>
      <c r="E188" s="25">
        <v>4</v>
      </c>
      <c r="F188" s="25">
        <v>5</v>
      </c>
      <c r="G188" s="25">
        <v>4</v>
      </c>
      <c r="H188" s="25">
        <v>4</v>
      </c>
      <c r="I188" s="25">
        <v>7</v>
      </c>
      <c r="J188" s="26" t="s">
        <v>209</v>
      </c>
      <c r="K188" s="26" t="s">
        <v>521</v>
      </c>
      <c r="L188" s="25" t="s">
        <v>515</v>
      </c>
      <c r="M188" s="27" t="str">
        <f t="shared" si="12"/>
        <v>Everyone else</v>
      </c>
      <c r="N188" s="27" t="str">
        <f t="shared" si="13"/>
        <v>Everyone else</v>
      </c>
      <c r="O188" s="27" t="str">
        <f t="shared" si="14"/>
        <v>Everyone else</v>
      </c>
      <c r="P188" s="27" t="str">
        <f t="shared" si="15"/>
        <v>Everyone else</v>
      </c>
      <c r="Q188" s="27" t="str">
        <f t="shared" si="16"/>
        <v>Everyone else</v>
      </c>
      <c r="R188" s="27" t="str">
        <f t="shared" si="17"/>
        <v>Everyone else</v>
      </c>
    </row>
    <row r="189" spans="1:18" ht="34.5" customHeight="1" x14ac:dyDescent="0.25">
      <c r="A189" s="25" t="s">
        <v>368</v>
      </c>
      <c r="B189" s="26" t="s">
        <v>73</v>
      </c>
      <c r="C189" s="25" t="s">
        <v>88</v>
      </c>
      <c r="D189" s="25">
        <v>1</v>
      </c>
      <c r="E189" s="25">
        <v>2</v>
      </c>
      <c r="F189" s="25">
        <v>1</v>
      </c>
      <c r="G189" s="25">
        <v>3</v>
      </c>
      <c r="H189" s="25">
        <v>2</v>
      </c>
      <c r="I189" s="25">
        <v>6</v>
      </c>
      <c r="J189" s="26" t="s">
        <v>219</v>
      </c>
      <c r="K189" s="26" t="s">
        <v>547</v>
      </c>
      <c r="L189" s="25" t="s">
        <v>519</v>
      </c>
      <c r="M189" s="27" t="str">
        <f t="shared" si="12"/>
        <v>Everyone else</v>
      </c>
      <c r="N189" s="27" t="str">
        <f t="shared" si="13"/>
        <v>Flexibility Negative</v>
      </c>
      <c r="O189" s="27" t="str">
        <f t="shared" si="14"/>
        <v>Everyone else</v>
      </c>
      <c r="P189" s="27" t="str">
        <f t="shared" si="15"/>
        <v>Tools and systems Negative</v>
      </c>
      <c r="Q189" s="27" t="str">
        <f t="shared" si="16"/>
        <v>Everyone else</v>
      </c>
      <c r="R189" s="27" t="str">
        <f t="shared" si="17"/>
        <v>Everyone else</v>
      </c>
    </row>
    <row r="190" spans="1:18" ht="23.25" customHeight="1" x14ac:dyDescent="0.25">
      <c r="A190" s="25" t="s">
        <v>369</v>
      </c>
      <c r="B190" s="26" t="s">
        <v>91</v>
      </c>
      <c r="C190" s="25" t="s">
        <v>88</v>
      </c>
      <c r="D190" s="25">
        <v>2</v>
      </c>
      <c r="E190" s="25">
        <v>3</v>
      </c>
      <c r="F190" s="25">
        <v>3</v>
      </c>
      <c r="G190" s="25">
        <v>2</v>
      </c>
      <c r="H190" s="25">
        <v>3</v>
      </c>
      <c r="I190" s="25">
        <v>5</v>
      </c>
      <c r="J190" s="26" t="s">
        <v>370</v>
      </c>
      <c r="K190" s="26" t="s">
        <v>536</v>
      </c>
      <c r="L190" s="25" t="s">
        <v>519</v>
      </c>
      <c r="M190" s="27" t="str">
        <f t="shared" si="12"/>
        <v>Everyone else</v>
      </c>
      <c r="N190" s="27" t="str">
        <f t="shared" si="13"/>
        <v>Flexibility Negative</v>
      </c>
      <c r="O190" s="27" t="str">
        <f t="shared" si="14"/>
        <v>Everyone else</v>
      </c>
      <c r="P190" s="27" t="str">
        <f t="shared" si="15"/>
        <v>Everyone else</v>
      </c>
      <c r="Q190" s="27" t="str">
        <f t="shared" si="16"/>
        <v>Everyone else</v>
      </c>
      <c r="R190" s="27" t="str">
        <f t="shared" si="17"/>
        <v>Career growth Negative</v>
      </c>
    </row>
    <row r="191" spans="1:18" ht="15" customHeight="1" x14ac:dyDescent="0.25">
      <c r="A191" s="25" t="s">
        <v>371</v>
      </c>
      <c r="B191" s="26" t="s">
        <v>108</v>
      </c>
      <c r="C191" s="25" t="s">
        <v>88</v>
      </c>
      <c r="D191" s="25">
        <v>2</v>
      </c>
      <c r="E191" s="25">
        <v>5</v>
      </c>
      <c r="F191" s="25">
        <v>3</v>
      </c>
      <c r="G191" s="25">
        <v>3</v>
      </c>
      <c r="H191" s="25">
        <v>4</v>
      </c>
      <c r="I191" s="25">
        <v>7</v>
      </c>
      <c r="J191" s="26" t="s">
        <v>372</v>
      </c>
      <c r="K191" s="26" t="s">
        <v>516</v>
      </c>
      <c r="L191" s="25" t="s">
        <v>515</v>
      </c>
      <c r="M191" s="27" t="str">
        <f t="shared" si="12"/>
        <v>Everyone else</v>
      </c>
      <c r="N191" s="27" t="str">
        <f t="shared" si="13"/>
        <v>Everyone else</v>
      </c>
      <c r="O191" s="27" t="str">
        <f t="shared" si="14"/>
        <v>Everyone else</v>
      </c>
      <c r="P191" s="27" t="str">
        <f t="shared" si="15"/>
        <v>Everyone else</v>
      </c>
      <c r="Q191" s="27" t="str">
        <f t="shared" si="16"/>
        <v>Everyone else</v>
      </c>
      <c r="R191" s="27" t="str">
        <f t="shared" si="17"/>
        <v>Everyone else</v>
      </c>
    </row>
    <row r="192" spans="1:18" ht="15" customHeight="1" x14ac:dyDescent="0.25">
      <c r="A192" s="25" t="s">
        <v>373</v>
      </c>
      <c r="B192" s="26" t="s">
        <v>118</v>
      </c>
      <c r="C192" s="25" t="s">
        <v>94</v>
      </c>
      <c r="D192" s="25">
        <v>3</v>
      </c>
      <c r="E192" s="25">
        <v>5</v>
      </c>
      <c r="F192" s="25">
        <v>5</v>
      </c>
      <c r="G192" s="25">
        <v>4</v>
      </c>
      <c r="H192" s="25">
        <v>3</v>
      </c>
      <c r="I192" s="25">
        <v>6</v>
      </c>
      <c r="J192" s="26" t="s">
        <v>372</v>
      </c>
      <c r="K192" s="26" t="s">
        <v>516</v>
      </c>
      <c r="L192" s="25" t="s">
        <v>515</v>
      </c>
      <c r="M192" s="27" t="str">
        <f t="shared" si="12"/>
        <v>Everyone else</v>
      </c>
      <c r="N192" s="27" t="str">
        <f t="shared" si="13"/>
        <v>Everyone else</v>
      </c>
      <c r="O192" s="27" t="str">
        <f t="shared" si="14"/>
        <v>Everyone else</v>
      </c>
      <c r="P192" s="27" t="str">
        <f t="shared" si="15"/>
        <v>Everyone else</v>
      </c>
      <c r="Q192" s="27" t="str">
        <f t="shared" si="16"/>
        <v>Everyone else</v>
      </c>
      <c r="R192" s="27" t="str">
        <f t="shared" si="17"/>
        <v>Everyone else</v>
      </c>
    </row>
    <row r="193" spans="1:18" ht="23.25" customHeight="1" x14ac:dyDescent="0.25">
      <c r="A193" s="25" t="s">
        <v>374</v>
      </c>
      <c r="B193" s="26" t="s">
        <v>77</v>
      </c>
      <c r="C193" s="25" t="s">
        <v>74</v>
      </c>
      <c r="D193" s="25">
        <v>4</v>
      </c>
      <c r="E193" s="25">
        <v>3</v>
      </c>
      <c r="F193" s="25">
        <v>3</v>
      </c>
      <c r="G193" s="25">
        <v>4</v>
      </c>
      <c r="H193" s="25">
        <v>4</v>
      </c>
      <c r="I193" s="25">
        <v>7</v>
      </c>
      <c r="J193" s="26" t="s">
        <v>375</v>
      </c>
      <c r="K193" s="26" t="s">
        <v>545</v>
      </c>
      <c r="L193" s="25" t="s">
        <v>519</v>
      </c>
      <c r="M193" s="27" t="str">
        <f t="shared" si="12"/>
        <v>Everyone else</v>
      </c>
      <c r="N193" s="27" t="str">
        <f t="shared" si="13"/>
        <v>Everyone else</v>
      </c>
      <c r="O193" s="27" t="str">
        <f t="shared" si="14"/>
        <v>Workload Negative</v>
      </c>
      <c r="P193" s="27" t="str">
        <f t="shared" si="15"/>
        <v>Everyone else</v>
      </c>
      <c r="Q193" s="27" t="str">
        <f t="shared" si="16"/>
        <v>Everyone else</v>
      </c>
      <c r="R193" s="27" t="str">
        <f t="shared" si="17"/>
        <v>Career growth Negative</v>
      </c>
    </row>
    <row r="194" spans="1:18" ht="23.25" customHeight="1" x14ac:dyDescent="0.25">
      <c r="A194" s="25" t="s">
        <v>376</v>
      </c>
      <c r="B194" s="26" t="s">
        <v>118</v>
      </c>
      <c r="C194" s="25" t="s">
        <v>88</v>
      </c>
      <c r="D194" s="25">
        <v>3</v>
      </c>
      <c r="E194" s="25">
        <v>4</v>
      </c>
      <c r="F194" s="25">
        <v>1</v>
      </c>
      <c r="G194" s="25">
        <v>4</v>
      </c>
      <c r="H194" s="25">
        <v>3</v>
      </c>
      <c r="I194" s="25">
        <v>4</v>
      </c>
      <c r="J194" s="26" t="s">
        <v>232</v>
      </c>
      <c r="K194" s="26" t="s">
        <v>516</v>
      </c>
      <c r="L194" s="25" t="s">
        <v>519</v>
      </c>
      <c r="M194" s="27" t="str">
        <f t="shared" ref="M194:M257" si="18">IF(AND(ISNUMBER(SEARCH("Manager support",K194)),L194="Negative"),"Manager support Negative","Everyone else")</f>
        <v>Everyone else</v>
      </c>
      <c r="N194" s="27" t="str">
        <f t="shared" ref="N194:N257" si="19">IF(AND(ISNUMBER(SEARCH("Flexibility",K194)),L194="Negative"),"Flexibility Negative","Everyone else")</f>
        <v>Flexibility Negative</v>
      </c>
      <c r="O194" s="27" t="str">
        <f t="shared" ref="O194:O257" si="20">IF(AND(ISNUMBER(SEARCH("Workload",K194)),L194="Negative"),"Workload Negative","Everyone else")</f>
        <v>Everyone else</v>
      </c>
      <c r="P194" s="27" t="str">
        <f t="shared" ref="P194:P257" si="21">IF(AND(ISNUMBER(SEARCH("Tools and systems",K194)),L194="Negative"),"Tools and systems Negative","Everyone else")</f>
        <v>Everyone else</v>
      </c>
      <c r="Q194" s="27" t="str">
        <f t="shared" ref="Q194:Q257" si="22">IF(AND(ISNUMBER(SEARCH("Pay and benefits",K194)),L194="Negative"),"Pay and benefits Negative","Everyone else")</f>
        <v>Everyone else</v>
      </c>
      <c r="R194" s="27" t="str">
        <f t="shared" ref="R194:R257" si="23">IF(AND(ISNUMBER(SEARCH("Career growth",K194)),L194="Negative"),"Career growth Negative","Everyone else")</f>
        <v>Everyone else</v>
      </c>
    </row>
    <row r="195" spans="1:18" ht="15" customHeight="1" x14ac:dyDescent="0.25">
      <c r="A195" s="25" t="s">
        <v>377</v>
      </c>
      <c r="B195" s="26" t="s">
        <v>91</v>
      </c>
      <c r="C195" s="25" t="s">
        <v>88</v>
      </c>
      <c r="D195" s="25">
        <v>3</v>
      </c>
      <c r="E195" s="25">
        <v>4</v>
      </c>
      <c r="F195" s="25">
        <v>4</v>
      </c>
      <c r="G195" s="25">
        <v>5</v>
      </c>
      <c r="H195" s="25">
        <v>5</v>
      </c>
      <c r="I195" s="25">
        <v>10</v>
      </c>
      <c r="J195" s="26" t="s">
        <v>261</v>
      </c>
      <c r="K195" s="26" t="s">
        <v>521</v>
      </c>
      <c r="L195" s="25" t="s">
        <v>515</v>
      </c>
      <c r="M195" s="27" t="str">
        <f t="shared" si="18"/>
        <v>Everyone else</v>
      </c>
      <c r="N195" s="27" t="str">
        <f t="shared" si="19"/>
        <v>Everyone else</v>
      </c>
      <c r="O195" s="27" t="str">
        <f t="shared" si="20"/>
        <v>Everyone else</v>
      </c>
      <c r="P195" s="27" t="str">
        <f t="shared" si="21"/>
        <v>Everyone else</v>
      </c>
      <c r="Q195" s="27" t="str">
        <f t="shared" si="22"/>
        <v>Everyone else</v>
      </c>
      <c r="R195" s="27" t="str">
        <f t="shared" si="23"/>
        <v>Everyone else</v>
      </c>
    </row>
    <row r="196" spans="1:18" ht="15" customHeight="1" x14ac:dyDescent="0.25">
      <c r="A196" s="25" t="s">
        <v>378</v>
      </c>
      <c r="B196" s="26" t="s">
        <v>82</v>
      </c>
      <c r="C196" s="25" t="s">
        <v>74</v>
      </c>
      <c r="D196" s="25">
        <v>4</v>
      </c>
      <c r="E196" s="25">
        <v>4</v>
      </c>
      <c r="F196" s="25">
        <v>3</v>
      </c>
      <c r="G196" s="25">
        <v>4</v>
      </c>
      <c r="H196" s="25">
        <v>4</v>
      </c>
      <c r="I196" s="25">
        <v>7</v>
      </c>
      <c r="J196" s="26" t="s">
        <v>86</v>
      </c>
      <c r="K196" s="26" t="s">
        <v>520</v>
      </c>
      <c r="L196" s="25" t="s">
        <v>515</v>
      </c>
      <c r="M196" s="27" t="str">
        <f t="shared" si="18"/>
        <v>Everyone else</v>
      </c>
      <c r="N196" s="27" t="str">
        <f t="shared" si="19"/>
        <v>Everyone else</v>
      </c>
      <c r="O196" s="27" t="str">
        <f t="shared" si="20"/>
        <v>Everyone else</v>
      </c>
      <c r="P196" s="27" t="str">
        <f t="shared" si="21"/>
        <v>Everyone else</v>
      </c>
      <c r="Q196" s="27" t="str">
        <f t="shared" si="22"/>
        <v>Everyone else</v>
      </c>
      <c r="R196" s="27" t="str">
        <f t="shared" si="23"/>
        <v>Everyone else</v>
      </c>
    </row>
    <row r="197" spans="1:18" ht="34.5" customHeight="1" x14ac:dyDescent="0.25">
      <c r="A197" s="25" t="s">
        <v>379</v>
      </c>
      <c r="B197" s="26" t="s">
        <v>82</v>
      </c>
      <c r="C197" s="25" t="s">
        <v>88</v>
      </c>
      <c r="D197" s="25">
        <v>1</v>
      </c>
      <c r="E197" s="25">
        <v>4</v>
      </c>
      <c r="F197" s="25">
        <v>4</v>
      </c>
      <c r="G197" s="25">
        <v>3</v>
      </c>
      <c r="H197" s="25">
        <v>4</v>
      </c>
      <c r="I197" s="25">
        <v>6</v>
      </c>
      <c r="J197" s="26" t="s">
        <v>179</v>
      </c>
      <c r="K197" s="26" t="s">
        <v>541</v>
      </c>
      <c r="L197" s="25" t="s">
        <v>519</v>
      </c>
      <c r="M197" s="27" t="str">
        <f t="shared" si="18"/>
        <v>Everyone else</v>
      </c>
      <c r="N197" s="27" t="str">
        <f t="shared" si="19"/>
        <v>Everyone else</v>
      </c>
      <c r="O197" s="27" t="str">
        <f t="shared" si="20"/>
        <v>Everyone else</v>
      </c>
      <c r="P197" s="27" t="str">
        <f t="shared" si="21"/>
        <v>Tools and systems Negative</v>
      </c>
      <c r="Q197" s="27" t="str">
        <f t="shared" si="22"/>
        <v>Everyone else</v>
      </c>
      <c r="R197" s="27" t="str">
        <f t="shared" si="23"/>
        <v>Career growth Negative</v>
      </c>
    </row>
    <row r="198" spans="1:18" ht="34.5" customHeight="1" x14ac:dyDescent="0.25">
      <c r="A198" s="25" t="s">
        <v>380</v>
      </c>
      <c r="B198" s="26" t="s">
        <v>91</v>
      </c>
      <c r="C198" s="25" t="s">
        <v>94</v>
      </c>
      <c r="D198" s="25">
        <v>3</v>
      </c>
      <c r="E198" s="25">
        <v>2</v>
      </c>
      <c r="F198" s="25">
        <v>2</v>
      </c>
      <c r="G198" s="25">
        <v>2</v>
      </c>
      <c r="H198" s="25">
        <v>3</v>
      </c>
      <c r="I198" s="25">
        <v>3</v>
      </c>
      <c r="J198" s="26" t="s">
        <v>273</v>
      </c>
      <c r="K198" s="26" t="s">
        <v>550</v>
      </c>
      <c r="L198" s="25" t="s">
        <v>519</v>
      </c>
      <c r="M198" s="27" t="str">
        <f t="shared" si="18"/>
        <v>Manager support Negative</v>
      </c>
      <c r="N198" s="27" t="str">
        <f t="shared" si="19"/>
        <v>Everyone else</v>
      </c>
      <c r="O198" s="27" t="str">
        <f t="shared" si="20"/>
        <v>Workload Negative</v>
      </c>
      <c r="P198" s="27" t="str">
        <f t="shared" si="21"/>
        <v>Everyone else</v>
      </c>
      <c r="Q198" s="27" t="str">
        <f t="shared" si="22"/>
        <v>Everyone else</v>
      </c>
      <c r="R198" s="27" t="str">
        <f t="shared" si="23"/>
        <v>Everyone else</v>
      </c>
    </row>
    <row r="199" spans="1:18" ht="34.5" customHeight="1" x14ac:dyDescent="0.25">
      <c r="A199" s="25" t="s">
        <v>381</v>
      </c>
      <c r="B199" s="26" t="s">
        <v>77</v>
      </c>
      <c r="C199" s="25" t="s">
        <v>74</v>
      </c>
      <c r="D199" s="25">
        <v>4</v>
      </c>
      <c r="E199" s="25">
        <v>3</v>
      </c>
      <c r="F199" s="25">
        <v>3</v>
      </c>
      <c r="G199" s="25">
        <v>4</v>
      </c>
      <c r="H199" s="25">
        <v>3</v>
      </c>
      <c r="I199" s="25">
        <v>3</v>
      </c>
      <c r="J199" s="26" t="s">
        <v>382</v>
      </c>
      <c r="K199" s="26" t="s">
        <v>549</v>
      </c>
      <c r="L199" s="25" t="s">
        <v>519</v>
      </c>
      <c r="M199" s="27" t="str">
        <f t="shared" si="18"/>
        <v>Manager support Negative</v>
      </c>
      <c r="N199" s="27" t="str">
        <f t="shared" si="19"/>
        <v>Everyone else</v>
      </c>
      <c r="O199" s="27" t="str">
        <f t="shared" si="20"/>
        <v>Everyone else</v>
      </c>
      <c r="P199" s="27" t="str">
        <f t="shared" si="21"/>
        <v>Everyone else</v>
      </c>
      <c r="Q199" s="27" t="str">
        <f t="shared" si="22"/>
        <v>Everyone else</v>
      </c>
      <c r="R199" s="27" t="str">
        <f t="shared" si="23"/>
        <v>Career growth Negative</v>
      </c>
    </row>
    <row r="200" spans="1:18" ht="15" customHeight="1" x14ac:dyDescent="0.25">
      <c r="A200" s="25" t="s">
        <v>383</v>
      </c>
      <c r="B200" s="26" t="s">
        <v>118</v>
      </c>
      <c r="C200" s="25" t="s">
        <v>94</v>
      </c>
      <c r="D200" s="25">
        <v>4</v>
      </c>
      <c r="E200" s="25">
        <v>4</v>
      </c>
      <c r="F200" s="25">
        <v>5</v>
      </c>
      <c r="G200" s="25">
        <v>3</v>
      </c>
      <c r="H200" s="25">
        <v>3</v>
      </c>
      <c r="I200" s="25">
        <v>5</v>
      </c>
      <c r="J200" s="26" t="s">
        <v>125</v>
      </c>
      <c r="K200" s="26" t="s">
        <v>528</v>
      </c>
      <c r="L200" s="25" t="s">
        <v>515</v>
      </c>
      <c r="M200" s="27" t="str">
        <f t="shared" si="18"/>
        <v>Everyone else</v>
      </c>
      <c r="N200" s="27" t="str">
        <f t="shared" si="19"/>
        <v>Everyone else</v>
      </c>
      <c r="O200" s="27" t="str">
        <f t="shared" si="20"/>
        <v>Everyone else</v>
      </c>
      <c r="P200" s="27" t="str">
        <f t="shared" si="21"/>
        <v>Everyone else</v>
      </c>
      <c r="Q200" s="27" t="str">
        <f t="shared" si="22"/>
        <v>Everyone else</v>
      </c>
      <c r="R200" s="27" t="str">
        <f t="shared" si="23"/>
        <v>Everyone else</v>
      </c>
    </row>
    <row r="201" spans="1:18" ht="15" customHeight="1" x14ac:dyDescent="0.25">
      <c r="A201" s="25" t="s">
        <v>384</v>
      </c>
      <c r="B201" s="26" t="s">
        <v>73</v>
      </c>
      <c r="C201" s="25" t="s">
        <v>74</v>
      </c>
      <c r="D201" s="25">
        <v>4</v>
      </c>
      <c r="E201" s="25">
        <v>5</v>
      </c>
      <c r="F201" s="25">
        <v>4</v>
      </c>
      <c r="G201" s="25">
        <v>3</v>
      </c>
      <c r="H201" s="25">
        <v>5</v>
      </c>
      <c r="I201" s="25">
        <v>8</v>
      </c>
      <c r="J201" s="26" t="s">
        <v>75</v>
      </c>
      <c r="K201" s="26" t="s">
        <v>514</v>
      </c>
      <c r="L201" s="25" t="s">
        <v>515</v>
      </c>
      <c r="M201" s="27" t="str">
        <f t="shared" si="18"/>
        <v>Everyone else</v>
      </c>
      <c r="N201" s="27" t="str">
        <f t="shared" si="19"/>
        <v>Everyone else</v>
      </c>
      <c r="O201" s="27" t="str">
        <f t="shared" si="20"/>
        <v>Everyone else</v>
      </c>
      <c r="P201" s="27" t="str">
        <f t="shared" si="21"/>
        <v>Everyone else</v>
      </c>
      <c r="Q201" s="27" t="str">
        <f t="shared" si="22"/>
        <v>Everyone else</v>
      </c>
      <c r="R201" s="27" t="str">
        <f t="shared" si="23"/>
        <v>Everyone else</v>
      </c>
    </row>
    <row r="202" spans="1:18" ht="15" customHeight="1" x14ac:dyDescent="0.25">
      <c r="A202" s="25" t="s">
        <v>385</v>
      </c>
      <c r="B202" s="26" t="s">
        <v>108</v>
      </c>
      <c r="C202" s="25" t="s">
        <v>94</v>
      </c>
      <c r="D202" s="25">
        <v>4</v>
      </c>
      <c r="E202" s="25">
        <v>3</v>
      </c>
      <c r="F202" s="25">
        <v>5</v>
      </c>
      <c r="G202" s="25">
        <v>3</v>
      </c>
      <c r="H202" s="25">
        <v>4</v>
      </c>
      <c r="I202" s="25">
        <v>5</v>
      </c>
      <c r="J202" s="26" t="s">
        <v>86</v>
      </c>
      <c r="K202" s="26" t="s">
        <v>520</v>
      </c>
      <c r="L202" s="25" t="s">
        <v>515</v>
      </c>
      <c r="M202" s="27" t="str">
        <f t="shared" si="18"/>
        <v>Everyone else</v>
      </c>
      <c r="N202" s="27" t="str">
        <f t="shared" si="19"/>
        <v>Everyone else</v>
      </c>
      <c r="O202" s="27" t="str">
        <f t="shared" si="20"/>
        <v>Everyone else</v>
      </c>
      <c r="P202" s="27" t="str">
        <f t="shared" si="21"/>
        <v>Everyone else</v>
      </c>
      <c r="Q202" s="27" t="str">
        <f t="shared" si="22"/>
        <v>Everyone else</v>
      </c>
      <c r="R202" s="27" t="str">
        <f t="shared" si="23"/>
        <v>Everyone else</v>
      </c>
    </row>
    <row r="203" spans="1:18" ht="15" customHeight="1" x14ac:dyDescent="0.25">
      <c r="A203" s="25" t="s">
        <v>386</v>
      </c>
      <c r="B203" s="26" t="s">
        <v>91</v>
      </c>
      <c r="C203" s="25" t="s">
        <v>74</v>
      </c>
      <c r="D203" s="25">
        <v>4</v>
      </c>
      <c r="E203" s="25">
        <v>3</v>
      </c>
      <c r="F203" s="25">
        <v>4</v>
      </c>
      <c r="G203" s="25">
        <v>4</v>
      </c>
      <c r="H203" s="25">
        <v>3</v>
      </c>
      <c r="I203" s="25">
        <v>8</v>
      </c>
      <c r="J203" s="26" t="s">
        <v>387</v>
      </c>
      <c r="K203" s="26" t="s">
        <v>540</v>
      </c>
      <c r="L203" s="25" t="s">
        <v>515</v>
      </c>
      <c r="M203" s="27" t="str">
        <f t="shared" si="18"/>
        <v>Everyone else</v>
      </c>
      <c r="N203" s="27" t="str">
        <f t="shared" si="19"/>
        <v>Everyone else</v>
      </c>
      <c r="O203" s="27" t="str">
        <f t="shared" si="20"/>
        <v>Everyone else</v>
      </c>
      <c r="P203" s="27" t="str">
        <f t="shared" si="21"/>
        <v>Everyone else</v>
      </c>
      <c r="Q203" s="27" t="str">
        <f t="shared" si="22"/>
        <v>Everyone else</v>
      </c>
      <c r="R203" s="27" t="str">
        <f t="shared" si="23"/>
        <v>Everyone else</v>
      </c>
    </row>
    <row r="204" spans="1:18" ht="15" customHeight="1" x14ac:dyDescent="0.25">
      <c r="A204" s="25" t="s">
        <v>388</v>
      </c>
      <c r="B204" s="26" t="s">
        <v>91</v>
      </c>
      <c r="C204" s="25" t="s">
        <v>94</v>
      </c>
      <c r="D204" s="25">
        <v>5</v>
      </c>
      <c r="E204" s="25">
        <v>3</v>
      </c>
      <c r="F204" s="25">
        <v>4</v>
      </c>
      <c r="G204" s="25">
        <v>4</v>
      </c>
      <c r="H204" s="25">
        <v>4</v>
      </c>
      <c r="I204" s="25">
        <v>9</v>
      </c>
      <c r="J204" s="26" t="s">
        <v>336</v>
      </c>
      <c r="K204" s="26" t="s">
        <v>525</v>
      </c>
      <c r="L204" s="25" t="s">
        <v>515</v>
      </c>
      <c r="M204" s="27" t="str">
        <f t="shared" si="18"/>
        <v>Everyone else</v>
      </c>
      <c r="N204" s="27" t="str">
        <f t="shared" si="19"/>
        <v>Everyone else</v>
      </c>
      <c r="O204" s="27" t="str">
        <f t="shared" si="20"/>
        <v>Everyone else</v>
      </c>
      <c r="P204" s="27" t="str">
        <f t="shared" si="21"/>
        <v>Everyone else</v>
      </c>
      <c r="Q204" s="27" t="str">
        <f t="shared" si="22"/>
        <v>Everyone else</v>
      </c>
      <c r="R204" s="27" t="str">
        <f t="shared" si="23"/>
        <v>Everyone else</v>
      </c>
    </row>
    <row r="205" spans="1:18" ht="23.25" customHeight="1" x14ac:dyDescent="0.25">
      <c r="A205" s="25" t="s">
        <v>389</v>
      </c>
      <c r="B205" s="26" t="s">
        <v>82</v>
      </c>
      <c r="C205" s="25" t="s">
        <v>74</v>
      </c>
      <c r="D205" s="25">
        <v>5</v>
      </c>
      <c r="E205" s="25">
        <v>5</v>
      </c>
      <c r="F205" s="25">
        <v>4</v>
      </c>
      <c r="G205" s="25">
        <v>4</v>
      </c>
      <c r="H205" s="25">
        <v>4</v>
      </c>
      <c r="I205" s="25">
        <v>7</v>
      </c>
      <c r="J205" s="26" t="s">
        <v>196</v>
      </c>
      <c r="K205" s="26" t="s">
        <v>543</v>
      </c>
      <c r="L205" s="25" t="s">
        <v>515</v>
      </c>
      <c r="M205" s="27" t="str">
        <f t="shared" si="18"/>
        <v>Everyone else</v>
      </c>
      <c r="N205" s="27" t="str">
        <f t="shared" si="19"/>
        <v>Everyone else</v>
      </c>
      <c r="O205" s="27" t="str">
        <f t="shared" si="20"/>
        <v>Everyone else</v>
      </c>
      <c r="P205" s="27" t="str">
        <f t="shared" si="21"/>
        <v>Everyone else</v>
      </c>
      <c r="Q205" s="27" t="str">
        <f t="shared" si="22"/>
        <v>Everyone else</v>
      </c>
      <c r="R205" s="27" t="str">
        <f t="shared" si="23"/>
        <v>Everyone else</v>
      </c>
    </row>
    <row r="206" spans="1:18" ht="15" customHeight="1" x14ac:dyDescent="0.25">
      <c r="A206" s="25" t="s">
        <v>390</v>
      </c>
      <c r="B206" s="26" t="s">
        <v>118</v>
      </c>
      <c r="C206" s="25" t="s">
        <v>85</v>
      </c>
      <c r="D206" s="25">
        <v>4</v>
      </c>
      <c r="E206" s="25">
        <v>4</v>
      </c>
      <c r="F206" s="25">
        <v>4</v>
      </c>
      <c r="G206" s="25">
        <v>5</v>
      </c>
      <c r="H206" s="25">
        <v>4</v>
      </c>
      <c r="I206" s="25">
        <v>6</v>
      </c>
      <c r="J206" s="26" t="s">
        <v>192</v>
      </c>
      <c r="K206" s="26" t="s">
        <v>514</v>
      </c>
      <c r="L206" s="25" t="s">
        <v>515</v>
      </c>
      <c r="M206" s="27" t="str">
        <f t="shared" si="18"/>
        <v>Everyone else</v>
      </c>
      <c r="N206" s="27" t="str">
        <f t="shared" si="19"/>
        <v>Everyone else</v>
      </c>
      <c r="O206" s="27" t="str">
        <f t="shared" si="20"/>
        <v>Everyone else</v>
      </c>
      <c r="P206" s="27" t="str">
        <f t="shared" si="21"/>
        <v>Everyone else</v>
      </c>
      <c r="Q206" s="27" t="str">
        <f t="shared" si="22"/>
        <v>Everyone else</v>
      </c>
      <c r="R206" s="27" t="str">
        <f t="shared" si="23"/>
        <v>Everyone else</v>
      </c>
    </row>
    <row r="207" spans="1:18" ht="15" customHeight="1" x14ac:dyDescent="0.25">
      <c r="A207" s="25" t="s">
        <v>391</v>
      </c>
      <c r="B207" s="26" t="s">
        <v>82</v>
      </c>
      <c r="C207" s="25" t="s">
        <v>74</v>
      </c>
      <c r="D207" s="25">
        <v>4</v>
      </c>
      <c r="E207" s="25">
        <v>4</v>
      </c>
      <c r="F207" s="25">
        <v>4</v>
      </c>
      <c r="G207" s="25">
        <v>4</v>
      </c>
      <c r="H207" s="25">
        <v>4</v>
      </c>
      <c r="I207" s="25">
        <v>8</v>
      </c>
      <c r="J207" s="26" t="s">
        <v>181</v>
      </c>
      <c r="K207" s="26" t="s">
        <v>528</v>
      </c>
      <c r="L207" s="25" t="s">
        <v>515</v>
      </c>
      <c r="M207" s="27" t="str">
        <f t="shared" si="18"/>
        <v>Everyone else</v>
      </c>
      <c r="N207" s="27" t="str">
        <f t="shared" si="19"/>
        <v>Everyone else</v>
      </c>
      <c r="O207" s="27" t="str">
        <f t="shared" si="20"/>
        <v>Everyone else</v>
      </c>
      <c r="P207" s="27" t="str">
        <f t="shared" si="21"/>
        <v>Everyone else</v>
      </c>
      <c r="Q207" s="27" t="str">
        <f t="shared" si="22"/>
        <v>Everyone else</v>
      </c>
      <c r="R207" s="27" t="str">
        <f t="shared" si="23"/>
        <v>Everyone else</v>
      </c>
    </row>
    <row r="208" spans="1:18" ht="23.25" customHeight="1" x14ac:dyDescent="0.25">
      <c r="A208" s="25" t="s">
        <v>392</v>
      </c>
      <c r="B208" s="26" t="s">
        <v>108</v>
      </c>
      <c r="C208" s="25" t="s">
        <v>94</v>
      </c>
      <c r="D208" s="25">
        <v>4</v>
      </c>
      <c r="E208" s="25">
        <v>2</v>
      </c>
      <c r="F208" s="25">
        <v>5</v>
      </c>
      <c r="G208" s="25">
        <v>4</v>
      </c>
      <c r="H208" s="25">
        <v>3</v>
      </c>
      <c r="I208" s="25">
        <v>10</v>
      </c>
      <c r="J208" s="26" t="s">
        <v>393</v>
      </c>
      <c r="K208" s="26" t="s">
        <v>531</v>
      </c>
      <c r="L208" s="25" t="s">
        <v>515</v>
      </c>
      <c r="M208" s="27" t="str">
        <f t="shared" si="18"/>
        <v>Everyone else</v>
      </c>
      <c r="N208" s="27" t="str">
        <f t="shared" si="19"/>
        <v>Everyone else</v>
      </c>
      <c r="O208" s="27" t="str">
        <f t="shared" si="20"/>
        <v>Everyone else</v>
      </c>
      <c r="P208" s="27" t="str">
        <f t="shared" si="21"/>
        <v>Everyone else</v>
      </c>
      <c r="Q208" s="27" t="str">
        <f t="shared" si="22"/>
        <v>Everyone else</v>
      </c>
      <c r="R208" s="27" t="str">
        <f t="shared" si="23"/>
        <v>Everyone else</v>
      </c>
    </row>
    <row r="209" spans="1:18" ht="23.25" customHeight="1" x14ac:dyDescent="0.25">
      <c r="A209" s="25" t="s">
        <v>394</v>
      </c>
      <c r="B209" s="26" t="s">
        <v>77</v>
      </c>
      <c r="C209" s="25" t="s">
        <v>88</v>
      </c>
      <c r="D209" s="25">
        <v>5</v>
      </c>
      <c r="E209" s="25">
        <v>4</v>
      </c>
      <c r="F209" s="25">
        <v>3</v>
      </c>
      <c r="G209" s="25">
        <v>4</v>
      </c>
      <c r="H209" s="25">
        <v>2</v>
      </c>
      <c r="I209" s="25">
        <v>3</v>
      </c>
      <c r="J209" s="26" t="s">
        <v>101</v>
      </c>
      <c r="K209" s="26" t="s">
        <v>516</v>
      </c>
      <c r="L209" s="25" t="s">
        <v>519</v>
      </c>
      <c r="M209" s="27" t="str">
        <f t="shared" si="18"/>
        <v>Everyone else</v>
      </c>
      <c r="N209" s="27" t="str">
        <f t="shared" si="19"/>
        <v>Flexibility Negative</v>
      </c>
      <c r="O209" s="27" t="str">
        <f t="shared" si="20"/>
        <v>Everyone else</v>
      </c>
      <c r="P209" s="27" t="str">
        <f t="shared" si="21"/>
        <v>Everyone else</v>
      </c>
      <c r="Q209" s="27" t="str">
        <f t="shared" si="22"/>
        <v>Everyone else</v>
      </c>
      <c r="R209" s="27" t="str">
        <f t="shared" si="23"/>
        <v>Everyone else</v>
      </c>
    </row>
    <row r="210" spans="1:18" ht="23.25" customHeight="1" x14ac:dyDescent="0.25">
      <c r="A210" s="25" t="s">
        <v>395</v>
      </c>
      <c r="B210" s="26" t="s">
        <v>108</v>
      </c>
      <c r="C210" s="25" t="s">
        <v>94</v>
      </c>
      <c r="D210" s="25">
        <v>5</v>
      </c>
      <c r="E210" s="25">
        <v>5</v>
      </c>
      <c r="F210" s="25">
        <v>4</v>
      </c>
      <c r="G210" s="25">
        <v>3</v>
      </c>
      <c r="H210" s="25">
        <v>4</v>
      </c>
      <c r="I210" s="25">
        <v>8</v>
      </c>
      <c r="J210" s="26" t="s">
        <v>396</v>
      </c>
      <c r="K210" s="26" t="s">
        <v>550</v>
      </c>
      <c r="L210" s="25" t="s">
        <v>515</v>
      </c>
      <c r="M210" s="27" t="str">
        <f t="shared" si="18"/>
        <v>Everyone else</v>
      </c>
      <c r="N210" s="27" t="str">
        <f t="shared" si="19"/>
        <v>Everyone else</v>
      </c>
      <c r="O210" s="27" t="str">
        <f t="shared" si="20"/>
        <v>Everyone else</v>
      </c>
      <c r="P210" s="27" t="str">
        <f t="shared" si="21"/>
        <v>Everyone else</v>
      </c>
      <c r="Q210" s="27" t="str">
        <f t="shared" si="22"/>
        <v>Everyone else</v>
      </c>
      <c r="R210" s="27" t="str">
        <f t="shared" si="23"/>
        <v>Everyone else</v>
      </c>
    </row>
    <row r="211" spans="1:18" ht="23.25" customHeight="1" x14ac:dyDescent="0.25">
      <c r="A211" s="25" t="s">
        <v>397</v>
      </c>
      <c r="B211" s="26" t="s">
        <v>73</v>
      </c>
      <c r="C211" s="25" t="s">
        <v>85</v>
      </c>
      <c r="D211" s="25">
        <v>4</v>
      </c>
      <c r="E211" s="25">
        <v>3</v>
      </c>
      <c r="F211" s="25">
        <v>4</v>
      </c>
      <c r="G211" s="25">
        <v>3</v>
      </c>
      <c r="H211" s="25">
        <v>4</v>
      </c>
      <c r="I211" s="25">
        <v>8</v>
      </c>
      <c r="J211" s="26" t="s">
        <v>293</v>
      </c>
      <c r="K211" s="26" t="s">
        <v>546</v>
      </c>
      <c r="L211" s="25" t="s">
        <v>515</v>
      </c>
      <c r="M211" s="27" t="str">
        <f t="shared" si="18"/>
        <v>Everyone else</v>
      </c>
      <c r="N211" s="27" t="str">
        <f t="shared" si="19"/>
        <v>Everyone else</v>
      </c>
      <c r="O211" s="27" t="str">
        <f t="shared" si="20"/>
        <v>Everyone else</v>
      </c>
      <c r="P211" s="27" t="str">
        <f t="shared" si="21"/>
        <v>Everyone else</v>
      </c>
      <c r="Q211" s="27" t="str">
        <f t="shared" si="22"/>
        <v>Everyone else</v>
      </c>
      <c r="R211" s="27" t="str">
        <f t="shared" si="23"/>
        <v>Everyone else</v>
      </c>
    </row>
    <row r="212" spans="1:18" ht="34.5" customHeight="1" x14ac:dyDescent="0.25">
      <c r="A212" s="25" t="s">
        <v>398</v>
      </c>
      <c r="B212" s="26" t="s">
        <v>82</v>
      </c>
      <c r="C212" s="25" t="s">
        <v>85</v>
      </c>
      <c r="D212" s="25">
        <v>3</v>
      </c>
      <c r="E212" s="25">
        <v>4</v>
      </c>
      <c r="F212" s="25">
        <v>4</v>
      </c>
      <c r="G212" s="25">
        <v>3</v>
      </c>
      <c r="H212" s="25">
        <v>3</v>
      </c>
      <c r="I212" s="25">
        <v>4</v>
      </c>
      <c r="J212" s="26" t="s">
        <v>159</v>
      </c>
      <c r="K212" s="26" t="s">
        <v>514</v>
      </c>
      <c r="L212" s="25" t="s">
        <v>519</v>
      </c>
      <c r="M212" s="27" t="str">
        <f t="shared" si="18"/>
        <v>Manager support Negative</v>
      </c>
      <c r="N212" s="27" t="str">
        <f t="shared" si="19"/>
        <v>Everyone else</v>
      </c>
      <c r="O212" s="27" t="str">
        <f t="shared" si="20"/>
        <v>Everyone else</v>
      </c>
      <c r="P212" s="27" t="str">
        <f t="shared" si="21"/>
        <v>Everyone else</v>
      </c>
      <c r="Q212" s="27" t="str">
        <f t="shared" si="22"/>
        <v>Everyone else</v>
      </c>
      <c r="R212" s="27" t="str">
        <f t="shared" si="23"/>
        <v>Everyone else</v>
      </c>
    </row>
    <row r="213" spans="1:18" ht="23.25" customHeight="1" x14ac:dyDescent="0.25">
      <c r="A213" s="25" t="s">
        <v>399</v>
      </c>
      <c r="B213" s="26" t="s">
        <v>77</v>
      </c>
      <c r="C213" s="25" t="s">
        <v>74</v>
      </c>
      <c r="D213" s="25">
        <v>3</v>
      </c>
      <c r="E213" s="25">
        <v>2</v>
      </c>
      <c r="F213" s="25">
        <v>3</v>
      </c>
      <c r="G213" s="25">
        <v>4</v>
      </c>
      <c r="H213" s="25">
        <v>3</v>
      </c>
      <c r="I213" s="25">
        <v>2</v>
      </c>
      <c r="J213" s="26" t="s">
        <v>89</v>
      </c>
      <c r="K213" s="26" t="s">
        <v>521</v>
      </c>
      <c r="L213" s="25" t="s">
        <v>519</v>
      </c>
      <c r="M213" s="27" t="str">
        <f t="shared" si="18"/>
        <v>Everyone else</v>
      </c>
      <c r="N213" s="27" t="str">
        <f t="shared" si="19"/>
        <v>Everyone else</v>
      </c>
      <c r="O213" s="27" t="str">
        <f t="shared" si="20"/>
        <v>Workload Negative</v>
      </c>
      <c r="P213" s="27" t="str">
        <f t="shared" si="21"/>
        <v>Everyone else</v>
      </c>
      <c r="Q213" s="27" t="str">
        <f t="shared" si="22"/>
        <v>Everyone else</v>
      </c>
      <c r="R213" s="27" t="str">
        <f t="shared" si="23"/>
        <v>Everyone else</v>
      </c>
    </row>
    <row r="214" spans="1:18" ht="34.5" customHeight="1" x14ac:dyDescent="0.25">
      <c r="A214" s="25" t="s">
        <v>400</v>
      </c>
      <c r="B214" s="26" t="s">
        <v>82</v>
      </c>
      <c r="C214" s="25" t="s">
        <v>74</v>
      </c>
      <c r="D214" s="25">
        <v>2</v>
      </c>
      <c r="E214" s="25">
        <v>2</v>
      </c>
      <c r="F214" s="25">
        <v>3</v>
      </c>
      <c r="G214" s="25">
        <v>2</v>
      </c>
      <c r="H214" s="25">
        <v>4</v>
      </c>
      <c r="I214" s="25">
        <v>6</v>
      </c>
      <c r="J214" s="26" t="s">
        <v>401</v>
      </c>
      <c r="K214" s="26" t="s">
        <v>518</v>
      </c>
      <c r="L214" s="25" t="s">
        <v>519</v>
      </c>
      <c r="M214" s="27" t="str">
        <f t="shared" si="18"/>
        <v>Manager support Negative</v>
      </c>
      <c r="N214" s="27" t="str">
        <f t="shared" si="19"/>
        <v>Everyone else</v>
      </c>
      <c r="O214" s="27" t="str">
        <f t="shared" si="20"/>
        <v>Everyone else</v>
      </c>
      <c r="P214" s="27" t="str">
        <f t="shared" si="21"/>
        <v>Tools and systems Negative</v>
      </c>
      <c r="Q214" s="27" t="str">
        <f t="shared" si="22"/>
        <v>Everyone else</v>
      </c>
      <c r="R214" s="27" t="str">
        <f t="shared" si="23"/>
        <v>Everyone else</v>
      </c>
    </row>
    <row r="215" spans="1:18" ht="23.25" customHeight="1" x14ac:dyDescent="0.25">
      <c r="A215" s="25" t="s">
        <v>402</v>
      </c>
      <c r="B215" s="26" t="s">
        <v>77</v>
      </c>
      <c r="C215" s="25" t="s">
        <v>85</v>
      </c>
      <c r="D215" s="25">
        <v>4</v>
      </c>
      <c r="E215" s="25">
        <v>3</v>
      </c>
      <c r="F215" s="25">
        <v>2</v>
      </c>
      <c r="G215" s="25">
        <v>4</v>
      </c>
      <c r="H215" s="25">
        <v>5</v>
      </c>
      <c r="I215" s="25">
        <v>6</v>
      </c>
      <c r="J215" s="26" t="s">
        <v>131</v>
      </c>
      <c r="K215" s="26" t="s">
        <v>531</v>
      </c>
      <c r="L215" s="25" t="s">
        <v>515</v>
      </c>
      <c r="M215" s="27" t="str">
        <f t="shared" si="18"/>
        <v>Everyone else</v>
      </c>
      <c r="N215" s="27" t="str">
        <f t="shared" si="19"/>
        <v>Everyone else</v>
      </c>
      <c r="O215" s="27" t="str">
        <f t="shared" si="20"/>
        <v>Everyone else</v>
      </c>
      <c r="P215" s="27" t="str">
        <f t="shared" si="21"/>
        <v>Everyone else</v>
      </c>
      <c r="Q215" s="27" t="str">
        <f t="shared" si="22"/>
        <v>Everyone else</v>
      </c>
      <c r="R215" s="27" t="str">
        <f t="shared" si="23"/>
        <v>Everyone else</v>
      </c>
    </row>
    <row r="216" spans="1:18" ht="15" customHeight="1" x14ac:dyDescent="0.25">
      <c r="A216" s="25" t="s">
        <v>403</v>
      </c>
      <c r="B216" s="26" t="s">
        <v>73</v>
      </c>
      <c r="C216" s="25" t="s">
        <v>88</v>
      </c>
      <c r="D216" s="25">
        <v>4</v>
      </c>
      <c r="E216" s="25">
        <v>2</v>
      </c>
      <c r="F216" s="25">
        <v>5</v>
      </c>
      <c r="G216" s="25">
        <v>5</v>
      </c>
      <c r="H216" s="25">
        <v>5</v>
      </c>
      <c r="I216" s="25">
        <v>8</v>
      </c>
      <c r="J216" s="26" t="s">
        <v>125</v>
      </c>
      <c r="K216" s="26" t="s">
        <v>528</v>
      </c>
      <c r="L216" s="25" t="s">
        <v>515</v>
      </c>
      <c r="M216" s="27" t="str">
        <f t="shared" si="18"/>
        <v>Everyone else</v>
      </c>
      <c r="N216" s="27" t="str">
        <f t="shared" si="19"/>
        <v>Everyone else</v>
      </c>
      <c r="O216" s="27" t="str">
        <f t="shared" si="20"/>
        <v>Everyone else</v>
      </c>
      <c r="P216" s="27" t="str">
        <f t="shared" si="21"/>
        <v>Everyone else</v>
      </c>
      <c r="Q216" s="27" t="str">
        <f t="shared" si="22"/>
        <v>Everyone else</v>
      </c>
      <c r="R216" s="27" t="str">
        <f t="shared" si="23"/>
        <v>Everyone else</v>
      </c>
    </row>
    <row r="217" spans="1:18" ht="34.5" customHeight="1" x14ac:dyDescent="0.25">
      <c r="A217" s="25" t="s">
        <v>404</v>
      </c>
      <c r="B217" s="26" t="s">
        <v>118</v>
      </c>
      <c r="C217" s="25" t="s">
        <v>88</v>
      </c>
      <c r="D217" s="25">
        <v>3</v>
      </c>
      <c r="E217" s="25">
        <v>3</v>
      </c>
      <c r="F217" s="25">
        <v>3</v>
      </c>
      <c r="G217" s="25">
        <v>2</v>
      </c>
      <c r="H217" s="25">
        <v>3</v>
      </c>
      <c r="I217" s="25">
        <v>6</v>
      </c>
      <c r="J217" s="26" t="s">
        <v>405</v>
      </c>
      <c r="K217" s="26" t="s">
        <v>551</v>
      </c>
      <c r="L217" s="25" t="s">
        <v>519</v>
      </c>
      <c r="M217" s="27" t="str">
        <f t="shared" si="18"/>
        <v>Everyone else</v>
      </c>
      <c r="N217" s="27" t="str">
        <f t="shared" si="19"/>
        <v>Everyone else</v>
      </c>
      <c r="O217" s="27" t="str">
        <f t="shared" si="20"/>
        <v>Everyone else</v>
      </c>
      <c r="P217" s="27" t="str">
        <f t="shared" si="21"/>
        <v>Tools and systems Negative</v>
      </c>
      <c r="Q217" s="27" t="str">
        <f t="shared" si="22"/>
        <v>Everyone else</v>
      </c>
      <c r="R217" s="27" t="str">
        <f t="shared" si="23"/>
        <v>Career growth Negative</v>
      </c>
    </row>
    <row r="218" spans="1:18" ht="15" customHeight="1" x14ac:dyDescent="0.25">
      <c r="A218" s="25" t="s">
        <v>406</v>
      </c>
      <c r="B218" s="26" t="s">
        <v>91</v>
      </c>
      <c r="C218" s="25" t="s">
        <v>74</v>
      </c>
      <c r="D218" s="25">
        <v>5</v>
      </c>
      <c r="E218" s="25">
        <v>5</v>
      </c>
      <c r="F218" s="25">
        <v>4</v>
      </c>
      <c r="G218" s="25">
        <v>2</v>
      </c>
      <c r="H218" s="25">
        <v>5</v>
      </c>
      <c r="I218" s="25">
        <v>10</v>
      </c>
      <c r="J218" s="26" t="s">
        <v>336</v>
      </c>
      <c r="K218" s="26" t="s">
        <v>525</v>
      </c>
      <c r="L218" s="25" t="s">
        <v>515</v>
      </c>
      <c r="M218" s="27" t="str">
        <f t="shared" si="18"/>
        <v>Everyone else</v>
      </c>
      <c r="N218" s="27" t="str">
        <f t="shared" si="19"/>
        <v>Everyone else</v>
      </c>
      <c r="O218" s="27" t="str">
        <f t="shared" si="20"/>
        <v>Everyone else</v>
      </c>
      <c r="P218" s="27" t="str">
        <f t="shared" si="21"/>
        <v>Everyone else</v>
      </c>
      <c r="Q218" s="27" t="str">
        <f t="shared" si="22"/>
        <v>Everyone else</v>
      </c>
      <c r="R218" s="27" t="str">
        <f t="shared" si="23"/>
        <v>Everyone else</v>
      </c>
    </row>
    <row r="219" spans="1:18" ht="23.25" customHeight="1" x14ac:dyDescent="0.25">
      <c r="A219" s="25" t="s">
        <v>407</v>
      </c>
      <c r="B219" s="26" t="s">
        <v>77</v>
      </c>
      <c r="C219" s="25" t="s">
        <v>88</v>
      </c>
      <c r="D219" s="25">
        <v>4</v>
      </c>
      <c r="E219" s="25">
        <v>3</v>
      </c>
      <c r="F219" s="25">
        <v>4</v>
      </c>
      <c r="G219" s="25">
        <v>5</v>
      </c>
      <c r="H219" s="25">
        <v>3</v>
      </c>
      <c r="I219" s="25">
        <v>6</v>
      </c>
      <c r="J219" s="26" t="s">
        <v>246</v>
      </c>
      <c r="K219" s="26" t="s">
        <v>530</v>
      </c>
      <c r="L219" s="25" t="s">
        <v>515</v>
      </c>
      <c r="M219" s="27" t="str">
        <f t="shared" si="18"/>
        <v>Everyone else</v>
      </c>
      <c r="N219" s="27" t="str">
        <f t="shared" si="19"/>
        <v>Everyone else</v>
      </c>
      <c r="O219" s="27" t="str">
        <f t="shared" si="20"/>
        <v>Everyone else</v>
      </c>
      <c r="P219" s="27" t="str">
        <f t="shared" si="21"/>
        <v>Everyone else</v>
      </c>
      <c r="Q219" s="27" t="str">
        <f t="shared" si="22"/>
        <v>Everyone else</v>
      </c>
      <c r="R219" s="27" t="str">
        <f t="shared" si="23"/>
        <v>Everyone else</v>
      </c>
    </row>
    <row r="220" spans="1:18" ht="15" customHeight="1" x14ac:dyDescent="0.25">
      <c r="A220" s="25" t="s">
        <v>408</v>
      </c>
      <c r="B220" s="26" t="s">
        <v>82</v>
      </c>
      <c r="C220" s="25" t="s">
        <v>88</v>
      </c>
      <c r="D220" s="25">
        <v>5</v>
      </c>
      <c r="E220" s="25">
        <v>4</v>
      </c>
      <c r="F220" s="25">
        <v>4</v>
      </c>
      <c r="G220" s="25">
        <v>5</v>
      </c>
      <c r="H220" s="25">
        <v>2</v>
      </c>
      <c r="I220" s="25">
        <v>7</v>
      </c>
      <c r="J220" s="26" t="s">
        <v>86</v>
      </c>
      <c r="K220" s="26" t="s">
        <v>520</v>
      </c>
      <c r="L220" s="25" t="s">
        <v>515</v>
      </c>
      <c r="M220" s="27" t="str">
        <f t="shared" si="18"/>
        <v>Everyone else</v>
      </c>
      <c r="N220" s="27" t="str">
        <f t="shared" si="19"/>
        <v>Everyone else</v>
      </c>
      <c r="O220" s="27" t="str">
        <f t="shared" si="20"/>
        <v>Everyone else</v>
      </c>
      <c r="P220" s="27" t="str">
        <f t="shared" si="21"/>
        <v>Everyone else</v>
      </c>
      <c r="Q220" s="27" t="str">
        <f t="shared" si="22"/>
        <v>Everyone else</v>
      </c>
      <c r="R220" s="27" t="str">
        <f t="shared" si="23"/>
        <v>Everyone else</v>
      </c>
    </row>
    <row r="221" spans="1:18" ht="34.5" customHeight="1" x14ac:dyDescent="0.25">
      <c r="A221" s="25" t="s">
        <v>409</v>
      </c>
      <c r="B221" s="26" t="s">
        <v>73</v>
      </c>
      <c r="C221" s="25" t="s">
        <v>74</v>
      </c>
      <c r="D221" s="25">
        <v>3</v>
      </c>
      <c r="E221" s="25">
        <v>3</v>
      </c>
      <c r="F221" s="25">
        <v>2</v>
      </c>
      <c r="G221" s="25">
        <v>3</v>
      </c>
      <c r="H221" s="25">
        <v>3</v>
      </c>
      <c r="I221" s="25">
        <v>5</v>
      </c>
      <c r="J221" s="26" t="s">
        <v>119</v>
      </c>
      <c r="K221" s="26" t="s">
        <v>528</v>
      </c>
      <c r="L221" s="25" t="s">
        <v>519</v>
      </c>
      <c r="M221" s="27" t="str">
        <f t="shared" si="18"/>
        <v>Everyone else</v>
      </c>
      <c r="N221" s="27" t="str">
        <f t="shared" si="19"/>
        <v>Everyone else</v>
      </c>
      <c r="O221" s="27" t="str">
        <f t="shared" si="20"/>
        <v>Everyone else</v>
      </c>
      <c r="P221" s="27" t="str">
        <f t="shared" si="21"/>
        <v>Tools and systems Negative</v>
      </c>
      <c r="Q221" s="27" t="str">
        <f t="shared" si="22"/>
        <v>Everyone else</v>
      </c>
      <c r="R221" s="27" t="str">
        <f t="shared" si="23"/>
        <v>Everyone else</v>
      </c>
    </row>
    <row r="222" spans="1:18" ht="23.25" customHeight="1" x14ac:dyDescent="0.25">
      <c r="A222" s="25" t="s">
        <v>410</v>
      </c>
      <c r="B222" s="26" t="s">
        <v>73</v>
      </c>
      <c r="C222" s="25" t="s">
        <v>74</v>
      </c>
      <c r="D222" s="25">
        <v>4</v>
      </c>
      <c r="E222" s="25">
        <v>4</v>
      </c>
      <c r="F222" s="25">
        <v>4</v>
      </c>
      <c r="G222" s="25">
        <v>5</v>
      </c>
      <c r="H222" s="25">
        <v>4</v>
      </c>
      <c r="I222" s="25">
        <v>9</v>
      </c>
      <c r="J222" s="26" t="s">
        <v>411</v>
      </c>
      <c r="K222" s="26" t="s">
        <v>551</v>
      </c>
      <c r="L222" s="25" t="s">
        <v>515</v>
      </c>
      <c r="M222" s="27" t="str">
        <f t="shared" si="18"/>
        <v>Everyone else</v>
      </c>
      <c r="N222" s="27" t="str">
        <f t="shared" si="19"/>
        <v>Everyone else</v>
      </c>
      <c r="O222" s="27" t="str">
        <f t="shared" si="20"/>
        <v>Everyone else</v>
      </c>
      <c r="P222" s="27" t="str">
        <f t="shared" si="21"/>
        <v>Everyone else</v>
      </c>
      <c r="Q222" s="27" t="str">
        <f t="shared" si="22"/>
        <v>Everyone else</v>
      </c>
      <c r="R222" s="27" t="str">
        <f t="shared" si="23"/>
        <v>Everyone else</v>
      </c>
    </row>
    <row r="223" spans="1:18" ht="23.25" customHeight="1" x14ac:dyDescent="0.25">
      <c r="A223" s="25" t="s">
        <v>412</v>
      </c>
      <c r="B223" s="26" t="s">
        <v>91</v>
      </c>
      <c r="C223" s="25" t="s">
        <v>88</v>
      </c>
      <c r="D223" s="25">
        <v>3</v>
      </c>
      <c r="E223" s="25">
        <v>3</v>
      </c>
      <c r="F223" s="25">
        <v>4</v>
      </c>
      <c r="G223" s="25">
        <v>2</v>
      </c>
      <c r="H223" s="25">
        <v>3</v>
      </c>
      <c r="I223" s="25">
        <v>4</v>
      </c>
      <c r="J223" s="26" t="s">
        <v>166</v>
      </c>
      <c r="K223" s="26" t="s">
        <v>539</v>
      </c>
      <c r="L223" s="25" t="s">
        <v>519</v>
      </c>
      <c r="M223" s="27" t="str">
        <f t="shared" si="18"/>
        <v>Everyone else</v>
      </c>
      <c r="N223" s="27" t="str">
        <f t="shared" si="19"/>
        <v>Everyone else</v>
      </c>
      <c r="O223" s="27" t="str">
        <f t="shared" si="20"/>
        <v>Workload Negative</v>
      </c>
      <c r="P223" s="27" t="str">
        <f t="shared" si="21"/>
        <v>Everyone else</v>
      </c>
      <c r="Q223" s="27" t="str">
        <f t="shared" si="22"/>
        <v>Everyone else</v>
      </c>
      <c r="R223" s="27" t="str">
        <f t="shared" si="23"/>
        <v>Career growth Negative</v>
      </c>
    </row>
    <row r="224" spans="1:18" ht="15" customHeight="1" x14ac:dyDescent="0.25">
      <c r="A224" s="25" t="s">
        <v>413</v>
      </c>
      <c r="B224" s="26" t="s">
        <v>91</v>
      </c>
      <c r="C224" s="25" t="s">
        <v>94</v>
      </c>
      <c r="D224" s="25">
        <v>2</v>
      </c>
      <c r="E224" s="25">
        <v>4</v>
      </c>
      <c r="F224" s="25">
        <v>5</v>
      </c>
      <c r="G224" s="25">
        <v>3</v>
      </c>
      <c r="H224" s="25">
        <v>3</v>
      </c>
      <c r="I224" s="25">
        <v>7</v>
      </c>
      <c r="J224" s="26" t="s">
        <v>192</v>
      </c>
      <c r="K224" s="26" t="s">
        <v>514</v>
      </c>
      <c r="L224" s="25" t="s">
        <v>515</v>
      </c>
      <c r="M224" s="27" t="str">
        <f t="shared" si="18"/>
        <v>Everyone else</v>
      </c>
      <c r="N224" s="27" t="str">
        <f t="shared" si="19"/>
        <v>Everyone else</v>
      </c>
      <c r="O224" s="27" t="str">
        <f t="shared" si="20"/>
        <v>Everyone else</v>
      </c>
      <c r="P224" s="27" t="str">
        <f t="shared" si="21"/>
        <v>Everyone else</v>
      </c>
      <c r="Q224" s="27" t="str">
        <f t="shared" si="22"/>
        <v>Everyone else</v>
      </c>
      <c r="R224" s="27" t="str">
        <f t="shared" si="23"/>
        <v>Everyone else</v>
      </c>
    </row>
    <row r="225" spans="1:18" ht="34.5" customHeight="1" x14ac:dyDescent="0.25">
      <c r="A225" s="25" t="s">
        <v>414</v>
      </c>
      <c r="B225" s="26" t="s">
        <v>73</v>
      </c>
      <c r="C225" s="25" t="s">
        <v>88</v>
      </c>
      <c r="D225" s="25">
        <v>2</v>
      </c>
      <c r="E225" s="25">
        <v>3</v>
      </c>
      <c r="F225" s="25">
        <v>4</v>
      </c>
      <c r="G225" s="25">
        <v>3</v>
      </c>
      <c r="H225" s="25">
        <v>3</v>
      </c>
      <c r="I225" s="25">
        <v>4</v>
      </c>
      <c r="J225" s="26" t="s">
        <v>97</v>
      </c>
      <c r="K225" s="26" t="s">
        <v>514</v>
      </c>
      <c r="L225" s="25" t="s">
        <v>519</v>
      </c>
      <c r="M225" s="27" t="str">
        <f t="shared" si="18"/>
        <v>Manager support Negative</v>
      </c>
      <c r="N225" s="27" t="str">
        <f t="shared" si="19"/>
        <v>Everyone else</v>
      </c>
      <c r="O225" s="27" t="str">
        <f t="shared" si="20"/>
        <v>Everyone else</v>
      </c>
      <c r="P225" s="27" t="str">
        <f t="shared" si="21"/>
        <v>Everyone else</v>
      </c>
      <c r="Q225" s="27" t="str">
        <f t="shared" si="22"/>
        <v>Everyone else</v>
      </c>
      <c r="R225" s="27" t="str">
        <f t="shared" si="23"/>
        <v>Everyone else</v>
      </c>
    </row>
    <row r="226" spans="1:18" ht="34.5" customHeight="1" x14ac:dyDescent="0.25">
      <c r="A226" s="25" t="s">
        <v>415</v>
      </c>
      <c r="B226" s="26" t="s">
        <v>73</v>
      </c>
      <c r="C226" s="25" t="s">
        <v>94</v>
      </c>
      <c r="D226" s="25">
        <v>3</v>
      </c>
      <c r="E226" s="25">
        <v>2</v>
      </c>
      <c r="F226" s="25">
        <v>4</v>
      </c>
      <c r="G226" s="25">
        <v>3</v>
      </c>
      <c r="H226" s="25">
        <v>4</v>
      </c>
      <c r="I226" s="25">
        <v>2</v>
      </c>
      <c r="J226" s="26" t="s">
        <v>179</v>
      </c>
      <c r="K226" s="26" t="s">
        <v>541</v>
      </c>
      <c r="L226" s="25" t="s">
        <v>519</v>
      </c>
      <c r="M226" s="27" t="str">
        <f t="shared" si="18"/>
        <v>Everyone else</v>
      </c>
      <c r="N226" s="27" t="str">
        <f t="shared" si="19"/>
        <v>Everyone else</v>
      </c>
      <c r="O226" s="27" t="str">
        <f t="shared" si="20"/>
        <v>Everyone else</v>
      </c>
      <c r="P226" s="27" t="str">
        <f t="shared" si="21"/>
        <v>Tools and systems Negative</v>
      </c>
      <c r="Q226" s="27" t="str">
        <f t="shared" si="22"/>
        <v>Everyone else</v>
      </c>
      <c r="R226" s="27" t="str">
        <f t="shared" si="23"/>
        <v>Career growth Negative</v>
      </c>
    </row>
    <row r="227" spans="1:18" ht="34.5" customHeight="1" x14ac:dyDescent="0.25">
      <c r="A227" s="25" t="s">
        <v>416</v>
      </c>
      <c r="B227" s="26" t="s">
        <v>118</v>
      </c>
      <c r="C227" s="25" t="s">
        <v>74</v>
      </c>
      <c r="D227" s="25">
        <v>2</v>
      </c>
      <c r="E227" s="25">
        <v>4</v>
      </c>
      <c r="F227" s="25">
        <v>3</v>
      </c>
      <c r="G227" s="25">
        <v>3</v>
      </c>
      <c r="H227" s="25">
        <v>3</v>
      </c>
      <c r="I227" s="25">
        <v>4</v>
      </c>
      <c r="J227" s="26" t="s">
        <v>417</v>
      </c>
      <c r="K227" s="26" t="s">
        <v>538</v>
      </c>
      <c r="L227" s="25" t="s">
        <v>519</v>
      </c>
      <c r="M227" s="27" t="str">
        <f t="shared" si="18"/>
        <v>Manager support Negative</v>
      </c>
      <c r="N227" s="27" t="str">
        <f t="shared" si="19"/>
        <v>Everyone else</v>
      </c>
      <c r="O227" s="27" t="str">
        <f t="shared" si="20"/>
        <v>Workload Negative</v>
      </c>
      <c r="P227" s="27" t="str">
        <f t="shared" si="21"/>
        <v>Everyone else</v>
      </c>
      <c r="Q227" s="27" t="str">
        <f t="shared" si="22"/>
        <v>Everyone else</v>
      </c>
      <c r="R227" s="27" t="str">
        <f t="shared" si="23"/>
        <v>Everyone else</v>
      </c>
    </row>
    <row r="228" spans="1:18" ht="23.25" customHeight="1" x14ac:dyDescent="0.25">
      <c r="A228" s="25" t="s">
        <v>418</v>
      </c>
      <c r="B228" s="26" t="s">
        <v>82</v>
      </c>
      <c r="C228" s="25" t="s">
        <v>85</v>
      </c>
      <c r="D228" s="25">
        <v>1</v>
      </c>
      <c r="E228" s="25">
        <v>3</v>
      </c>
      <c r="F228" s="25">
        <v>4</v>
      </c>
      <c r="G228" s="25">
        <v>3</v>
      </c>
      <c r="H228" s="25">
        <v>4</v>
      </c>
      <c r="I228" s="25">
        <v>6</v>
      </c>
      <c r="J228" s="26" t="s">
        <v>232</v>
      </c>
      <c r="K228" s="26" t="s">
        <v>516</v>
      </c>
      <c r="L228" s="25" t="s">
        <v>519</v>
      </c>
      <c r="M228" s="27" t="str">
        <f t="shared" si="18"/>
        <v>Everyone else</v>
      </c>
      <c r="N228" s="27" t="str">
        <f t="shared" si="19"/>
        <v>Flexibility Negative</v>
      </c>
      <c r="O228" s="27" t="str">
        <f t="shared" si="20"/>
        <v>Everyone else</v>
      </c>
      <c r="P228" s="27" t="str">
        <f t="shared" si="21"/>
        <v>Everyone else</v>
      </c>
      <c r="Q228" s="27" t="str">
        <f t="shared" si="22"/>
        <v>Everyone else</v>
      </c>
      <c r="R228" s="27" t="str">
        <f t="shared" si="23"/>
        <v>Everyone else</v>
      </c>
    </row>
    <row r="229" spans="1:18" ht="34.5" customHeight="1" x14ac:dyDescent="0.25">
      <c r="A229" s="25" t="s">
        <v>419</v>
      </c>
      <c r="B229" s="26" t="s">
        <v>82</v>
      </c>
      <c r="C229" s="25" t="s">
        <v>85</v>
      </c>
      <c r="D229" s="25">
        <v>1</v>
      </c>
      <c r="E229" s="25">
        <v>2</v>
      </c>
      <c r="F229" s="25">
        <v>3</v>
      </c>
      <c r="G229" s="25">
        <v>4</v>
      </c>
      <c r="H229" s="25">
        <v>2</v>
      </c>
      <c r="I229" s="25">
        <v>8</v>
      </c>
      <c r="J229" s="26" t="s">
        <v>420</v>
      </c>
      <c r="K229" s="26" t="s">
        <v>533</v>
      </c>
      <c r="L229" s="25" t="s">
        <v>519</v>
      </c>
      <c r="M229" s="27" t="str">
        <f t="shared" si="18"/>
        <v>Everyone else</v>
      </c>
      <c r="N229" s="27" t="str">
        <f t="shared" si="19"/>
        <v>Everyone else</v>
      </c>
      <c r="O229" s="27" t="str">
        <f t="shared" si="20"/>
        <v>Workload Negative</v>
      </c>
      <c r="P229" s="27" t="str">
        <f t="shared" si="21"/>
        <v>Tools and systems Negative</v>
      </c>
      <c r="Q229" s="27" t="str">
        <f t="shared" si="22"/>
        <v>Everyone else</v>
      </c>
      <c r="R229" s="27" t="str">
        <f t="shared" si="23"/>
        <v>Everyone else</v>
      </c>
    </row>
    <row r="230" spans="1:18" ht="15" customHeight="1" x14ac:dyDescent="0.25">
      <c r="A230" s="25" t="s">
        <v>421</v>
      </c>
      <c r="B230" s="26" t="s">
        <v>118</v>
      </c>
      <c r="C230" s="25" t="s">
        <v>88</v>
      </c>
      <c r="D230" s="25">
        <v>5</v>
      </c>
      <c r="E230" s="25">
        <v>2</v>
      </c>
      <c r="F230" s="25">
        <v>2</v>
      </c>
      <c r="G230" s="25">
        <v>4</v>
      </c>
      <c r="H230" s="25">
        <v>3</v>
      </c>
      <c r="I230" s="25">
        <v>9</v>
      </c>
      <c r="J230" s="26" t="s">
        <v>78</v>
      </c>
      <c r="K230" s="26" t="s">
        <v>516</v>
      </c>
      <c r="L230" s="25" t="s">
        <v>515</v>
      </c>
      <c r="M230" s="27" t="str">
        <f t="shared" si="18"/>
        <v>Everyone else</v>
      </c>
      <c r="N230" s="27" t="str">
        <f t="shared" si="19"/>
        <v>Everyone else</v>
      </c>
      <c r="O230" s="27" t="str">
        <f t="shared" si="20"/>
        <v>Everyone else</v>
      </c>
      <c r="P230" s="27" t="str">
        <f t="shared" si="21"/>
        <v>Everyone else</v>
      </c>
      <c r="Q230" s="27" t="str">
        <f t="shared" si="22"/>
        <v>Everyone else</v>
      </c>
      <c r="R230" s="27" t="str">
        <f t="shared" si="23"/>
        <v>Everyone else</v>
      </c>
    </row>
    <row r="231" spans="1:18" ht="34.5" customHeight="1" x14ac:dyDescent="0.25">
      <c r="A231" s="25" t="s">
        <v>422</v>
      </c>
      <c r="B231" s="26" t="s">
        <v>118</v>
      </c>
      <c r="C231" s="25" t="s">
        <v>94</v>
      </c>
      <c r="D231" s="25">
        <v>3</v>
      </c>
      <c r="E231" s="25">
        <v>2</v>
      </c>
      <c r="F231" s="25">
        <v>4</v>
      </c>
      <c r="G231" s="25">
        <v>3</v>
      </c>
      <c r="H231" s="25">
        <v>4</v>
      </c>
      <c r="I231" s="25">
        <v>6</v>
      </c>
      <c r="J231" s="26" t="s">
        <v>119</v>
      </c>
      <c r="K231" s="26" t="s">
        <v>528</v>
      </c>
      <c r="L231" s="25" t="s">
        <v>519</v>
      </c>
      <c r="M231" s="27" t="str">
        <f t="shared" si="18"/>
        <v>Everyone else</v>
      </c>
      <c r="N231" s="27" t="str">
        <f t="shared" si="19"/>
        <v>Everyone else</v>
      </c>
      <c r="O231" s="27" t="str">
        <f t="shared" si="20"/>
        <v>Everyone else</v>
      </c>
      <c r="P231" s="27" t="str">
        <f t="shared" si="21"/>
        <v>Tools and systems Negative</v>
      </c>
      <c r="Q231" s="27" t="str">
        <f t="shared" si="22"/>
        <v>Everyone else</v>
      </c>
      <c r="R231" s="27" t="str">
        <f t="shared" si="23"/>
        <v>Everyone else</v>
      </c>
    </row>
    <row r="232" spans="1:18" ht="34.5" customHeight="1" x14ac:dyDescent="0.25">
      <c r="A232" s="25" t="s">
        <v>423</v>
      </c>
      <c r="B232" s="26" t="s">
        <v>118</v>
      </c>
      <c r="C232" s="25" t="s">
        <v>74</v>
      </c>
      <c r="D232" s="25">
        <v>3</v>
      </c>
      <c r="E232" s="25">
        <v>3</v>
      </c>
      <c r="F232" s="25">
        <v>3</v>
      </c>
      <c r="G232" s="25">
        <v>2</v>
      </c>
      <c r="H232" s="25">
        <v>2</v>
      </c>
      <c r="I232" s="25">
        <v>4</v>
      </c>
      <c r="J232" s="26" t="s">
        <v>159</v>
      </c>
      <c r="K232" s="26" t="s">
        <v>514</v>
      </c>
      <c r="L232" s="25" t="s">
        <v>519</v>
      </c>
      <c r="M232" s="27" t="str">
        <f t="shared" si="18"/>
        <v>Manager support Negative</v>
      </c>
      <c r="N232" s="27" t="str">
        <f t="shared" si="19"/>
        <v>Everyone else</v>
      </c>
      <c r="O232" s="27" t="str">
        <f t="shared" si="20"/>
        <v>Everyone else</v>
      </c>
      <c r="P232" s="27" t="str">
        <f t="shared" si="21"/>
        <v>Everyone else</v>
      </c>
      <c r="Q232" s="27" t="str">
        <f t="shared" si="22"/>
        <v>Everyone else</v>
      </c>
      <c r="R232" s="27" t="str">
        <f t="shared" si="23"/>
        <v>Everyone else</v>
      </c>
    </row>
    <row r="233" spans="1:18" ht="34.5" customHeight="1" x14ac:dyDescent="0.25">
      <c r="A233" s="25" t="s">
        <v>424</v>
      </c>
      <c r="B233" s="26" t="s">
        <v>91</v>
      </c>
      <c r="C233" s="25" t="s">
        <v>85</v>
      </c>
      <c r="D233" s="25">
        <v>3</v>
      </c>
      <c r="E233" s="25">
        <v>3</v>
      </c>
      <c r="F233" s="25">
        <v>2</v>
      </c>
      <c r="G233" s="25">
        <v>4</v>
      </c>
      <c r="H233" s="25">
        <v>3</v>
      </c>
      <c r="I233" s="25">
        <v>4</v>
      </c>
      <c r="J233" s="26" t="s">
        <v>425</v>
      </c>
      <c r="K233" s="26" t="s">
        <v>531</v>
      </c>
      <c r="L233" s="25" t="s">
        <v>519</v>
      </c>
      <c r="M233" s="27" t="str">
        <f t="shared" si="18"/>
        <v>Manager support Negative</v>
      </c>
      <c r="N233" s="27" t="str">
        <f t="shared" si="19"/>
        <v>Everyone else</v>
      </c>
      <c r="O233" s="27" t="str">
        <f t="shared" si="20"/>
        <v>Everyone else</v>
      </c>
      <c r="P233" s="27" t="str">
        <f t="shared" si="21"/>
        <v>Everyone else</v>
      </c>
      <c r="Q233" s="27" t="str">
        <f t="shared" si="22"/>
        <v>Everyone else</v>
      </c>
      <c r="R233" s="27" t="str">
        <f t="shared" si="23"/>
        <v>Career growth Negative</v>
      </c>
    </row>
    <row r="234" spans="1:18" ht="23.25" customHeight="1" x14ac:dyDescent="0.25">
      <c r="A234" s="25" t="s">
        <v>426</v>
      </c>
      <c r="B234" s="26" t="s">
        <v>108</v>
      </c>
      <c r="C234" s="25" t="s">
        <v>88</v>
      </c>
      <c r="D234" s="25">
        <v>4</v>
      </c>
      <c r="E234" s="25">
        <v>2</v>
      </c>
      <c r="F234" s="25">
        <v>2</v>
      </c>
      <c r="G234" s="25">
        <v>2</v>
      </c>
      <c r="H234" s="25">
        <v>4</v>
      </c>
      <c r="I234" s="25">
        <v>6</v>
      </c>
      <c r="J234" s="26" t="s">
        <v>427</v>
      </c>
      <c r="K234" s="26" t="s">
        <v>545</v>
      </c>
      <c r="L234" s="25" t="s">
        <v>519</v>
      </c>
      <c r="M234" s="27" t="str">
        <f t="shared" si="18"/>
        <v>Everyone else</v>
      </c>
      <c r="N234" s="27" t="str">
        <f t="shared" si="19"/>
        <v>Everyone else</v>
      </c>
      <c r="O234" s="27" t="str">
        <f t="shared" si="20"/>
        <v>Workload Negative</v>
      </c>
      <c r="P234" s="27" t="str">
        <f t="shared" si="21"/>
        <v>Everyone else</v>
      </c>
      <c r="Q234" s="27" t="str">
        <f t="shared" si="22"/>
        <v>Everyone else</v>
      </c>
      <c r="R234" s="27" t="str">
        <f t="shared" si="23"/>
        <v>Career growth Negative</v>
      </c>
    </row>
    <row r="235" spans="1:18" ht="23.25" customHeight="1" x14ac:dyDescent="0.25">
      <c r="A235" s="25" t="s">
        <v>428</v>
      </c>
      <c r="B235" s="26" t="s">
        <v>91</v>
      </c>
      <c r="C235" s="25" t="s">
        <v>74</v>
      </c>
      <c r="D235" s="25">
        <v>4</v>
      </c>
      <c r="E235" s="25">
        <v>4</v>
      </c>
      <c r="F235" s="25">
        <v>3</v>
      </c>
      <c r="G235" s="25">
        <v>4</v>
      </c>
      <c r="H235" s="25">
        <v>3</v>
      </c>
      <c r="I235" s="25">
        <v>8</v>
      </c>
      <c r="J235" s="26" t="s">
        <v>339</v>
      </c>
      <c r="K235" s="26" t="s">
        <v>532</v>
      </c>
      <c r="L235" s="25" t="s">
        <v>515</v>
      </c>
      <c r="M235" s="27" t="str">
        <f t="shared" si="18"/>
        <v>Everyone else</v>
      </c>
      <c r="N235" s="27" t="str">
        <f t="shared" si="19"/>
        <v>Everyone else</v>
      </c>
      <c r="O235" s="27" t="str">
        <f t="shared" si="20"/>
        <v>Everyone else</v>
      </c>
      <c r="P235" s="27" t="str">
        <f t="shared" si="21"/>
        <v>Everyone else</v>
      </c>
      <c r="Q235" s="27" t="str">
        <f t="shared" si="22"/>
        <v>Everyone else</v>
      </c>
      <c r="R235" s="27" t="str">
        <f t="shared" si="23"/>
        <v>Everyone else</v>
      </c>
    </row>
    <row r="236" spans="1:18" ht="34.5" customHeight="1" x14ac:dyDescent="0.25">
      <c r="A236" s="25" t="s">
        <v>429</v>
      </c>
      <c r="B236" s="26" t="s">
        <v>77</v>
      </c>
      <c r="C236" s="25" t="s">
        <v>94</v>
      </c>
      <c r="D236" s="25">
        <v>3</v>
      </c>
      <c r="E236" s="25">
        <v>2</v>
      </c>
      <c r="F236" s="25">
        <v>3</v>
      </c>
      <c r="G236" s="25">
        <v>2</v>
      </c>
      <c r="H236" s="25">
        <v>3</v>
      </c>
      <c r="I236" s="25">
        <v>7</v>
      </c>
      <c r="J236" s="26" t="s">
        <v>430</v>
      </c>
      <c r="K236" s="26" t="s">
        <v>542</v>
      </c>
      <c r="L236" s="25" t="s">
        <v>519</v>
      </c>
      <c r="M236" s="27" t="str">
        <f t="shared" si="18"/>
        <v>Everyone else</v>
      </c>
      <c r="N236" s="27" t="str">
        <f t="shared" si="19"/>
        <v>Everyone else</v>
      </c>
      <c r="O236" s="27" t="str">
        <f t="shared" si="20"/>
        <v>Everyone else</v>
      </c>
      <c r="P236" s="27" t="str">
        <f t="shared" si="21"/>
        <v>Everyone else</v>
      </c>
      <c r="Q236" s="27" t="str">
        <f t="shared" si="22"/>
        <v>Pay and benefits Negative</v>
      </c>
      <c r="R236" s="27" t="str">
        <f t="shared" si="23"/>
        <v>Career growth Negative</v>
      </c>
    </row>
    <row r="237" spans="1:18" ht="34.5" customHeight="1" x14ac:dyDescent="0.25">
      <c r="A237" s="25" t="s">
        <v>431</v>
      </c>
      <c r="B237" s="26" t="s">
        <v>73</v>
      </c>
      <c r="C237" s="25" t="s">
        <v>88</v>
      </c>
      <c r="D237" s="25">
        <v>2</v>
      </c>
      <c r="E237" s="25">
        <v>3</v>
      </c>
      <c r="F237" s="25">
        <v>4</v>
      </c>
      <c r="G237" s="25">
        <v>4</v>
      </c>
      <c r="H237" s="25">
        <v>3</v>
      </c>
      <c r="I237" s="25">
        <v>3</v>
      </c>
      <c r="J237" s="26" t="s">
        <v>310</v>
      </c>
      <c r="K237" s="26" t="s">
        <v>543</v>
      </c>
      <c r="L237" s="25" t="s">
        <v>519</v>
      </c>
      <c r="M237" s="27" t="str">
        <f t="shared" si="18"/>
        <v>Everyone else</v>
      </c>
      <c r="N237" s="27" t="str">
        <f t="shared" si="19"/>
        <v>Everyone else</v>
      </c>
      <c r="O237" s="27" t="str">
        <f t="shared" si="20"/>
        <v>Workload Negative</v>
      </c>
      <c r="P237" s="27" t="str">
        <f t="shared" si="21"/>
        <v>Everyone else</v>
      </c>
      <c r="Q237" s="27" t="str">
        <f t="shared" si="22"/>
        <v>Pay and benefits Negative</v>
      </c>
      <c r="R237" s="27" t="str">
        <f t="shared" si="23"/>
        <v>Everyone else</v>
      </c>
    </row>
    <row r="238" spans="1:18" ht="15" customHeight="1" x14ac:dyDescent="0.25">
      <c r="A238" s="25" t="s">
        <v>432</v>
      </c>
      <c r="B238" s="26" t="s">
        <v>73</v>
      </c>
      <c r="C238" s="25" t="s">
        <v>74</v>
      </c>
      <c r="D238" s="25">
        <v>3</v>
      </c>
      <c r="E238" s="25">
        <v>5</v>
      </c>
      <c r="F238" s="25">
        <v>5</v>
      </c>
      <c r="G238" s="25">
        <v>4</v>
      </c>
      <c r="H238" s="25">
        <v>3</v>
      </c>
      <c r="I238" s="25">
        <v>7</v>
      </c>
      <c r="J238" s="26" t="s">
        <v>433</v>
      </c>
      <c r="K238" s="26" t="s">
        <v>547</v>
      </c>
      <c r="L238" s="25" t="s">
        <v>515</v>
      </c>
      <c r="M238" s="27" t="str">
        <f t="shared" si="18"/>
        <v>Everyone else</v>
      </c>
      <c r="N238" s="27" t="str">
        <f t="shared" si="19"/>
        <v>Everyone else</v>
      </c>
      <c r="O238" s="27" t="str">
        <f t="shared" si="20"/>
        <v>Everyone else</v>
      </c>
      <c r="P238" s="27" t="str">
        <f t="shared" si="21"/>
        <v>Everyone else</v>
      </c>
      <c r="Q238" s="27" t="str">
        <f t="shared" si="22"/>
        <v>Everyone else</v>
      </c>
      <c r="R238" s="27" t="str">
        <f t="shared" si="23"/>
        <v>Everyone else</v>
      </c>
    </row>
    <row r="239" spans="1:18" ht="23.25" customHeight="1" x14ac:dyDescent="0.25">
      <c r="A239" s="25" t="s">
        <v>434</v>
      </c>
      <c r="B239" s="26" t="s">
        <v>118</v>
      </c>
      <c r="C239" s="25" t="s">
        <v>74</v>
      </c>
      <c r="D239" s="25">
        <v>5</v>
      </c>
      <c r="E239" s="25">
        <v>4</v>
      </c>
      <c r="F239" s="25">
        <v>4</v>
      </c>
      <c r="G239" s="25">
        <v>4</v>
      </c>
      <c r="H239" s="25">
        <v>4</v>
      </c>
      <c r="I239" s="25">
        <v>8</v>
      </c>
      <c r="J239" s="26" t="s">
        <v>411</v>
      </c>
      <c r="K239" s="26" t="s">
        <v>551</v>
      </c>
      <c r="L239" s="25" t="s">
        <v>515</v>
      </c>
      <c r="M239" s="27" t="str">
        <f t="shared" si="18"/>
        <v>Everyone else</v>
      </c>
      <c r="N239" s="27" t="str">
        <f t="shared" si="19"/>
        <v>Everyone else</v>
      </c>
      <c r="O239" s="27" t="str">
        <f t="shared" si="20"/>
        <v>Everyone else</v>
      </c>
      <c r="P239" s="27" t="str">
        <f t="shared" si="21"/>
        <v>Everyone else</v>
      </c>
      <c r="Q239" s="27" t="str">
        <f t="shared" si="22"/>
        <v>Everyone else</v>
      </c>
      <c r="R239" s="27" t="str">
        <f t="shared" si="23"/>
        <v>Everyone else</v>
      </c>
    </row>
    <row r="240" spans="1:18" ht="34.5" customHeight="1" x14ac:dyDescent="0.25">
      <c r="A240" s="25" t="s">
        <v>435</v>
      </c>
      <c r="B240" s="26" t="s">
        <v>77</v>
      </c>
      <c r="C240" s="25" t="s">
        <v>74</v>
      </c>
      <c r="D240" s="25">
        <v>4</v>
      </c>
      <c r="E240" s="25">
        <v>3</v>
      </c>
      <c r="F240" s="25">
        <v>2</v>
      </c>
      <c r="G240" s="25">
        <v>3</v>
      </c>
      <c r="H240" s="25">
        <v>2</v>
      </c>
      <c r="I240" s="25">
        <v>7</v>
      </c>
      <c r="J240" s="26" t="s">
        <v>111</v>
      </c>
      <c r="K240" s="26" t="s">
        <v>525</v>
      </c>
      <c r="L240" s="25" t="s">
        <v>519</v>
      </c>
      <c r="M240" s="27" t="str">
        <f t="shared" si="18"/>
        <v>Everyone else</v>
      </c>
      <c r="N240" s="27" t="str">
        <f t="shared" si="19"/>
        <v>Everyone else</v>
      </c>
      <c r="O240" s="27" t="str">
        <f t="shared" si="20"/>
        <v>Everyone else</v>
      </c>
      <c r="P240" s="27" t="str">
        <f t="shared" si="21"/>
        <v>Everyone else</v>
      </c>
      <c r="Q240" s="27" t="str">
        <f t="shared" si="22"/>
        <v>Pay and benefits Negative</v>
      </c>
      <c r="R240" s="27" t="str">
        <f t="shared" si="23"/>
        <v>Everyone else</v>
      </c>
    </row>
    <row r="241" spans="1:18" ht="23.25" customHeight="1" x14ac:dyDescent="0.25">
      <c r="A241" s="25" t="s">
        <v>436</v>
      </c>
      <c r="B241" s="26" t="s">
        <v>73</v>
      </c>
      <c r="C241" s="25" t="s">
        <v>94</v>
      </c>
      <c r="D241" s="25">
        <v>5</v>
      </c>
      <c r="E241" s="25">
        <v>4</v>
      </c>
      <c r="F241" s="25">
        <v>2</v>
      </c>
      <c r="G241" s="25">
        <v>3</v>
      </c>
      <c r="H241" s="25">
        <v>1</v>
      </c>
      <c r="I241" s="25">
        <v>5</v>
      </c>
      <c r="J241" s="26" t="s">
        <v>101</v>
      </c>
      <c r="K241" s="26" t="s">
        <v>516</v>
      </c>
      <c r="L241" s="25" t="s">
        <v>519</v>
      </c>
      <c r="M241" s="27" t="str">
        <f t="shared" si="18"/>
        <v>Everyone else</v>
      </c>
      <c r="N241" s="27" t="str">
        <f t="shared" si="19"/>
        <v>Flexibility Negative</v>
      </c>
      <c r="O241" s="27" t="str">
        <f t="shared" si="20"/>
        <v>Everyone else</v>
      </c>
      <c r="P241" s="27" t="str">
        <f t="shared" si="21"/>
        <v>Everyone else</v>
      </c>
      <c r="Q241" s="27" t="str">
        <f t="shared" si="22"/>
        <v>Everyone else</v>
      </c>
      <c r="R241" s="27" t="str">
        <f t="shared" si="23"/>
        <v>Everyone else</v>
      </c>
    </row>
    <row r="242" spans="1:18" ht="34.5" customHeight="1" x14ac:dyDescent="0.25">
      <c r="A242" s="25" t="s">
        <v>437</v>
      </c>
      <c r="B242" s="26" t="s">
        <v>73</v>
      </c>
      <c r="C242" s="25" t="s">
        <v>74</v>
      </c>
      <c r="D242" s="25">
        <v>3</v>
      </c>
      <c r="E242" s="25">
        <v>2</v>
      </c>
      <c r="F242" s="25">
        <v>3</v>
      </c>
      <c r="G242" s="25">
        <v>2</v>
      </c>
      <c r="H242" s="25">
        <v>2</v>
      </c>
      <c r="I242" s="25">
        <v>4</v>
      </c>
      <c r="J242" s="26" t="s">
        <v>111</v>
      </c>
      <c r="K242" s="26" t="s">
        <v>525</v>
      </c>
      <c r="L242" s="25" t="s">
        <v>519</v>
      </c>
      <c r="M242" s="27" t="str">
        <f t="shared" si="18"/>
        <v>Everyone else</v>
      </c>
      <c r="N242" s="27" t="str">
        <f t="shared" si="19"/>
        <v>Everyone else</v>
      </c>
      <c r="O242" s="27" t="str">
        <f t="shared" si="20"/>
        <v>Everyone else</v>
      </c>
      <c r="P242" s="27" t="str">
        <f t="shared" si="21"/>
        <v>Everyone else</v>
      </c>
      <c r="Q242" s="27" t="str">
        <f t="shared" si="22"/>
        <v>Pay and benefits Negative</v>
      </c>
      <c r="R242" s="27" t="str">
        <f t="shared" si="23"/>
        <v>Everyone else</v>
      </c>
    </row>
    <row r="243" spans="1:18" ht="23.25" customHeight="1" x14ac:dyDescent="0.25">
      <c r="A243" s="25" t="s">
        <v>438</v>
      </c>
      <c r="B243" s="26" t="s">
        <v>118</v>
      </c>
      <c r="C243" s="25" t="s">
        <v>88</v>
      </c>
      <c r="D243" s="25">
        <v>3</v>
      </c>
      <c r="E243" s="25">
        <v>3</v>
      </c>
      <c r="F243" s="25">
        <v>2</v>
      </c>
      <c r="G243" s="25">
        <v>3</v>
      </c>
      <c r="H243" s="25">
        <v>4</v>
      </c>
      <c r="I243" s="25">
        <v>6</v>
      </c>
      <c r="J243" s="26" t="s">
        <v>439</v>
      </c>
      <c r="K243" s="26" t="s">
        <v>529</v>
      </c>
      <c r="L243" s="25" t="s">
        <v>519</v>
      </c>
      <c r="M243" s="27" t="str">
        <f t="shared" si="18"/>
        <v>Everyone else</v>
      </c>
      <c r="N243" s="27" t="str">
        <f t="shared" si="19"/>
        <v>Flexibility Negative</v>
      </c>
      <c r="O243" s="27" t="str">
        <f t="shared" si="20"/>
        <v>Everyone else</v>
      </c>
      <c r="P243" s="27" t="str">
        <f t="shared" si="21"/>
        <v>Everyone else</v>
      </c>
      <c r="Q243" s="27" t="str">
        <f t="shared" si="22"/>
        <v>Everyone else</v>
      </c>
      <c r="R243" s="27" t="str">
        <f t="shared" si="23"/>
        <v>Career growth Negative</v>
      </c>
    </row>
    <row r="244" spans="1:18" ht="23.25" customHeight="1" x14ac:dyDescent="0.25">
      <c r="A244" s="25" t="s">
        <v>440</v>
      </c>
      <c r="B244" s="26" t="s">
        <v>91</v>
      </c>
      <c r="C244" s="25" t="s">
        <v>74</v>
      </c>
      <c r="D244" s="25">
        <v>4</v>
      </c>
      <c r="E244" s="25">
        <v>1</v>
      </c>
      <c r="F244" s="25">
        <v>4</v>
      </c>
      <c r="G244" s="25">
        <v>3</v>
      </c>
      <c r="H244" s="25">
        <v>3</v>
      </c>
      <c r="I244" s="25">
        <v>3</v>
      </c>
      <c r="J244" s="26" t="s">
        <v>89</v>
      </c>
      <c r="K244" s="26" t="s">
        <v>521</v>
      </c>
      <c r="L244" s="25" t="s">
        <v>519</v>
      </c>
      <c r="M244" s="27" t="str">
        <f t="shared" si="18"/>
        <v>Everyone else</v>
      </c>
      <c r="N244" s="27" t="str">
        <f t="shared" si="19"/>
        <v>Everyone else</v>
      </c>
      <c r="O244" s="27" t="str">
        <f t="shared" si="20"/>
        <v>Workload Negative</v>
      </c>
      <c r="P244" s="27" t="str">
        <f t="shared" si="21"/>
        <v>Everyone else</v>
      </c>
      <c r="Q244" s="27" t="str">
        <f t="shared" si="22"/>
        <v>Everyone else</v>
      </c>
      <c r="R244" s="27" t="str">
        <f t="shared" si="23"/>
        <v>Everyone else</v>
      </c>
    </row>
    <row r="245" spans="1:18" ht="34.5" customHeight="1" x14ac:dyDescent="0.25">
      <c r="A245" s="25" t="s">
        <v>441</v>
      </c>
      <c r="B245" s="26" t="s">
        <v>77</v>
      </c>
      <c r="C245" s="25" t="s">
        <v>94</v>
      </c>
      <c r="D245" s="25">
        <v>2</v>
      </c>
      <c r="E245" s="25">
        <v>2</v>
      </c>
      <c r="F245" s="25">
        <v>3</v>
      </c>
      <c r="G245" s="25">
        <v>1</v>
      </c>
      <c r="H245" s="25">
        <v>4</v>
      </c>
      <c r="I245" s="25">
        <v>5</v>
      </c>
      <c r="J245" s="26" t="s">
        <v>333</v>
      </c>
      <c r="K245" s="26" t="s">
        <v>524</v>
      </c>
      <c r="L245" s="25" t="s">
        <v>519</v>
      </c>
      <c r="M245" s="27" t="str">
        <f t="shared" si="18"/>
        <v>Everyone else</v>
      </c>
      <c r="N245" s="27" t="str">
        <f t="shared" si="19"/>
        <v>Everyone else</v>
      </c>
      <c r="O245" s="27" t="str">
        <f t="shared" si="20"/>
        <v>Workload Negative</v>
      </c>
      <c r="P245" s="27" t="str">
        <f t="shared" si="21"/>
        <v>Tools and systems Negative</v>
      </c>
      <c r="Q245" s="27" t="str">
        <f t="shared" si="22"/>
        <v>Everyone else</v>
      </c>
      <c r="R245" s="27" t="str">
        <f t="shared" si="23"/>
        <v>Everyone else</v>
      </c>
    </row>
    <row r="246" spans="1:18" ht="15" customHeight="1" x14ac:dyDescent="0.25">
      <c r="A246" s="25" t="s">
        <v>442</v>
      </c>
      <c r="B246" s="26" t="s">
        <v>118</v>
      </c>
      <c r="C246" s="25" t="s">
        <v>74</v>
      </c>
      <c r="D246" s="25">
        <v>3</v>
      </c>
      <c r="E246" s="25">
        <v>5</v>
      </c>
      <c r="F246" s="25">
        <v>3</v>
      </c>
      <c r="G246" s="25">
        <v>5</v>
      </c>
      <c r="H246" s="25">
        <v>4</v>
      </c>
      <c r="I246" s="25">
        <v>8</v>
      </c>
      <c r="J246" s="26" t="s">
        <v>125</v>
      </c>
      <c r="K246" s="26" t="s">
        <v>528</v>
      </c>
      <c r="L246" s="25" t="s">
        <v>515</v>
      </c>
      <c r="M246" s="27" t="str">
        <f t="shared" si="18"/>
        <v>Everyone else</v>
      </c>
      <c r="N246" s="27" t="str">
        <f t="shared" si="19"/>
        <v>Everyone else</v>
      </c>
      <c r="O246" s="27" t="str">
        <f t="shared" si="20"/>
        <v>Everyone else</v>
      </c>
      <c r="P246" s="27" t="str">
        <f t="shared" si="21"/>
        <v>Everyone else</v>
      </c>
      <c r="Q246" s="27" t="str">
        <f t="shared" si="22"/>
        <v>Everyone else</v>
      </c>
      <c r="R246" s="27" t="str">
        <f t="shared" si="23"/>
        <v>Everyone else</v>
      </c>
    </row>
    <row r="247" spans="1:18" ht="23.25" customHeight="1" x14ac:dyDescent="0.25">
      <c r="A247" s="25" t="s">
        <v>443</v>
      </c>
      <c r="B247" s="26" t="s">
        <v>73</v>
      </c>
      <c r="C247" s="25" t="s">
        <v>85</v>
      </c>
      <c r="D247" s="25">
        <v>2</v>
      </c>
      <c r="E247" s="25">
        <v>3</v>
      </c>
      <c r="F247" s="25">
        <v>2</v>
      </c>
      <c r="G247" s="25">
        <v>3</v>
      </c>
      <c r="H247" s="25">
        <v>2</v>
      </c>
      <c r="I247" s="25">
        <v>6</v>
      </c>
      <c r="J247" s="26" t="s">
        <v>141</v>
      </c>
      <c r="K247" s="26" t="s">
        <v>521</v>
      </c>
      <c r="L247" s="25" t="s">
        <v>519</v>
      </c>
      <c r="M247" s="27" t="str">
        <f t="shared" si="18"/>
        <v>Everyone else</v>
      </c>
      <c r="N247" s="27" t="str">
        <f t="shared" si="19"/>
        <v>Everyone else</v>
      </c>
      <c r="O247" s="27" t="str">
        <f t="shared" si="20"/>
        <v>Workload Negative</v>
      </c>
      <c r="P247" s="27" t="str">
        <f t="shared" si="21"/>
        <v>Everyone else</v>
      </c>
      <c r="Q247" s="27" t="str">
        <f t="shared" si="22"/>
        <v>Everyone else</v>
      </c>
      <c r="R247" s="27" t="str">
        <f t="shared" si="23"/>
        <v>Everyone else</v>
      </c>
    </row>
    <row r="248" spans="1:18" ht="34.5" customHeight="1" x14ac:dyDescent="0.25">
      <c r="A248" s="25" t="s">
        <v>444</v>
      </c>
      <c r="B248" s="26" t="s">
        <v>91</v>
      </c>
      <c r="C248" s="25" t="s">
        <v>88</v>
      </c>
      <c r="D248" s="25">
        <v>2</v>
      </c>
      <c r="E248" s="25">
        <v>2</v>
      </c>
      <c r="F248" s="25">
        <v>4</v>
      </c>
      <c r="G248" s="25">
        <v>2</v>
      </c>
      <c r="H248" s="25">
        <v>4</v>
      </c>
      <c r="I248" s="25">
        <v>4</v>
      </c>
      <c r="J248" s="26" t="s">
        <v>159</v>
      </c>
      <c r="K248" s="26" t="s">
        <v>514</v>
      </c>
      <c r="L248" s="25" t="s">
        <v>519</v>
      </c>
      <c r="M248" s="27" t="str">
        <f t="shared" si="18"/>
        <v>Manager support Negative</v>
      </c>
      <c r="N248" s="27" t="str">
        <f t="shared" si="19"/>
        <v>Everyone else</v>
      </c>
      <c r="O248" s="27" t="str">
        <f t="shared" si="20"/>
        <v>Everyone else</v>
      </c>
      <c r="P248" s="27" t="str">
        <f t="shared" si="21"/>
        <v>Everyone else</v>
      </c>
      <c r="Q248" s="27" t="str">
        <f t="shared" si="22"/>
        <v>Everyone else</v>
      </c>
      <c r="R248" s="27" t="str">
        <f t="shared" si="23"/>
        <v>Everyone else</v>
      </c>
    </row>
    <row r="249" spans="1:18" ht="15" customHeight="1" x14ac:dyDescent="0.25">
      <c r="A249" s="25" t="s">
        <v>445</v>
      </c>
      <c r="B249" s="26" t="s">
        <v>73</v>
      </c>
      <c r="C249" s="25" t="s">
        <v>88</v>
      </c>
      <c r="D249" s="25">
        <v>4</v>
      </c>
      <c r="E249" s="25">
        <v>4</v>
      </c>
      <c r="F249" s="25">
        <v>4</v>
      </c>
      <c r="G249" s="25">
        <v>5</v>
      </c>
      <c r="H249" s="25">
        <v>4</v>
      </c>
      <c r="I249" s="25">
        <v>8</v>
      </c>
      <c r="J249" s="26" t="s">
        <v>446</v>
      </c>
      <c r="K249" s="26" t="s">
        <v>532</v>
      </c>
      <c r="L249" s="25" t="s">
        <v>515</v>
      </c>
      <c r="M249" s="27" t="str">
        <f t="shared" si="18"/>
        <v>Everyone else</v>
      </c>
      <c r="N249" s="27" t="str">
        <f t="shared" si="19"/>
        <v>Everyone else</v>
      </c>
      <c r="O249" s="27" t="str">
        <f t="shared" si="20"/>
        <v>Everyone else</v>
      </c>
      <c r="P249" s="27" t="str">
        <f t="shared" si="21"/>
        <v>Everyone else</v>
      </c>
      <c r="Q249" s="27" t="str">
        <f t="shared" si="22"/>
        <v>Everyone else</v>
      </c>
      <c r="R249" s="27" t="str">
        <f t="shared" si="23"/>
        <v>Everyone else</v>
      </c>
    </row>
    <row r="250" spans="1:18" ht="23.25" customHeight="1" x14ac:dyDescent="0.25">
      <c r="A250" s="25" t="s">
        <v>447</v>
      </c>
      <c r="B250" s="26" t="s">
        <v>118</v>
      </c>
      <c r="C250" s="25" t="s">
        <v>74</v>
      </c>
      <c r="D250" s="25">
        <v>2</v>
      </c>
      <c r="E250" s="25">
        <v>3</v>
      </c>
      <c r="F250" s="25">
        <v>2</v>
      </c>
      <c r="G250" s="25">
        <v>2</v>
      </c>
      <c r="H250" s="25">
        <v>4</v>
      </c>
      <c r="I250" s="25">
        <v>6</v>
      </c>
      <c r="J250" s="26" t="s">
        <v>448</v>
      </c>
      <c r="K250" s="26" t="s">
        <v>532</v>
      </c>
      <c r="L250" s="25" t="s">
        <v>519</v>
      </c>
      <c r="M250" s="27" t="str">
        <f t="shared" si="18"/>
        <v>Everyone else</v>
      </c>
      <c r="N250" s="27" t="str">
        <f t="shared" si="19"/>
        <v>Flexibility Negative</v>
      </c>
      <c r="O250" s="27" t="str">
        <f t="shared" si="20"/>
        <v>Workload Negative</v>
      </c>
      <c r="P250" s="27" t="str">
        <f t="shared" si="21"/>
        <v>Everyone else</v>
      </c>
      <c r="Q250" s="27" t="str">
        <f t="shared" si="22"/>
        <v>Everyone else</v>
      </c>
      <c r="R250" s="27" t="str">
        <f t="shared" si="23"/>
        <v>Everyone else</v>
      </c>
    </row>
    <row r="251" spans="1:18" ht="23.25" customHeight="1" x14ac:dyDescent="0.25">
      <c r="A251" s="25" t="s">
        <v>449</v>
      </c>
      <c r="B251" s="26" t="s">
        <v>77</v>
      </c>
      <c r="C251" s="25" t="s">
        <v>88</v>
      </c>
      <c r="D251" s="25">
        <v>2</v>
      </c>
      <c r="E251" s="25">
        <v>3</v>
      </c>
      <c r="F251" s="25">
        <v>1</v>
      </c>
      <c r="G251" s="25">
        <v>3</v>
      </c>
      <c r="H251" s="25">
        <v>3</v>
      </c>
      <c r="I251" s="25">
        <v>5</v>
      </c>
      <c r="J251" s="26" t="s">
        <v>141</v>
      </c>
      <c r="K251" s="26" t="s">
        <v>521</v>
      </c>
      <c r="L251" s="25" t="s">
        <v>519</v>
      </c>
      <c r="M251" s="27" t="str">
        <f t="shared" si="18"/>
        <v>Everyone else</v>
      </c>
      <c r="N251" s="27" t="str">
        <f t="shared" si="19"/>
        <v>Everyone else</v>
      </c>
      <c r="O251" s="27" t="str">
        <f t="shared" si="20"/>
        <v>Workload Negative</v>
      </c>
      <c r="P251" s="27" t="str">
        <f t="shared" si="21"/>
        <v>Everyone else</v>
      </c>
      <c r="Q251" s="27" t="str">
        <f t="shared" si="22"/>
        <v>Everyone else</v>
      </c>
      <c r="R251" s="27" t="str">
        <f t="shared" si="23"/>
        <v>Everyone else</v>
      </c>
    </row>
    <row r="252" spans="1:18" ht="23.25" customHeight="1" x14ac:dyDescent="0.25">
      <c r="A252" s="25" t="s">
        <v>450</v>
      </c>
      <c r="B252" s="26" t="s">
        <v>77</v>
      </c>
      <c r="C252" s="25" t="s">
        <v>94</v>
      </c>
      <c r="D252" s="25">
        <v>5</v>
      </c>
      <c r="E252" s="25">
        <v>3</v>
      </c>
      <c r="F252" s="25">
        <v>3</v>
      </c>
      <c r="G252" s="25">
        <v>3</v>
      </c>
      <c r="H252" s="25">
        <v>5</v>
      </c>
      <c r="I252" s="25">
        <v>7</v>
      </c>
      <c r="J252" s="26" t="s">
        <v>339</v>
      </c>
      <c r="K252" s="26" t="s">
        <v>532</v>
      </c>
      <c r="L252" s="25" t="s">
        <v>515</v>
      </c>
      <c r="M252" s="27" t="str">
        <f t="shared" si="18"/>
        <v>Everyone else</v>
      </c>
      <c r="N252" s="27" t="str">
        <f t="shared" si="19"/>
        <v>Everyone else</v>
      </c>
      <c r="O252" s="27" t="str">
        <f t="shared" si="20"/>
        <v>Everyone else</v>
      </c>
      <c r="P252" s="27" t="str">
        <f t="shared" si="21"/>
        <v>Everyone else</v>
      </c>
      <c r="Q252" s="27" t="str">
        <f t="shared" si="22"/>
        <v>Everyone else</v>
      </c>
      <c r="R252" s="27" t="str">
        <f t="shared" si="23"/>
        <v>Everyone else</v>
      </c>
    </row>
    <row r="253" spans="1:18" ht="23.25" customHeight="1" x14ac:dyDescent="0.25">
      <c r="A253" s="25" t="s">
        <v>451</v>
      </c>
      <c r="B253" s="26" t="s">
        <v>118</v>
      </c>
      <c r="C253" s="25" t="s">
        <v>94</v>
      </c>
      <c r="D253" s="25">
        <v>3</v>
      </c>
      <c r="E253" s="25">
        <v>5</v>
      </c>
      <c r="F253" s="25">
        <v>5</v>
      </c>
      <c r="G253" s="25">
        <v>4</v>
      </c>
      <c r="H253" s="25">
        <v>4</v>
      </c>
      <c r="I253" s="25">
        <v>7</v>
      </c>
      <c r="J253" s="26" t="s">
        <v>286</v>
      </c>
      <c r="K253" s="26" t="s">
        <v>526</v>
      </c>
      <c r="L253" s="25" t="s">
        <v>515</v>
      </c>
      <c r="M253" s="27" t="str">
        <f t="shared" si="18"/>
        <v>Everyone else</v>
      </c>
      <c r="N253" s="27" t="str">
        <f t="shared" si="19"/>
        <v>Everyone else</v>
      </c>
      <c r="O253" s="27" t="str">
        <f t="shared" si="20"/>
        <v>Everyone else</v>
      </c>
      <c r="P253" s="27" t="str">
        <f t="shared" si="21"/>
        <v>Everyone else</v>
      </c>
      <c r="Q253" s="27" t="str">
        <f t="shared" si="22"/>
        <v>Everyone else</v>
      </c>
      <c r="R253" s="27" t="str">
        <f t="shared" si="23"/>
        <v>Everyone else</v>
      </c>
    </row>
    <row r="254" spans="1:18" ht="34.5" customHeight="1" x14ac:dyDescent="0.25">
      <c r="A254" s="25" t="s">
        <v>452</v>
      </c>
      <c r="B254" s="26" t="s">
        <v>77</v>
      </c>
      <c r="C254" s="25" t="s">
        <v>74</v>
      </c>
      <c r="D254" s="25">
        <v>4</v>
      </c>
      <c r="E254" s="25">
        <v>3</v>
      </c>
      <c r="F254" s="25">
        <v>4</v>
      </c>
      <c r="G254" s="25">
        <v>5</v>
      </c>
      <c r="H254" s="25">
        <v>1</v>
      </c>
      <c r="I254" s="25">
        <v>5</v>
      </c>
      <c r="J254" s="26" t="s">
        <v>201</v>
      </c>
      <c r="K254" s="26" t="s">
        <v>528</v>
      </c>
      <c r="L254" s="25" t="s">
        <v>519</v>
      </c>
      <c r="M254" s="27" t="str">
        <f t="shared" si="18"/>
        <v>Everyone else</v>
      </c>
      <c r="N254" s="27" t="str">
        <f t="shared" si="19"/>
        <v>Everyone else</v>
      </c>
      <c r="O254" s="27" t="str">
        <f t="shared" si="20"/>
        <v>Everyone else</v>
      </c>
      <c r="P254" s="27" t="str">
        <f t="shared" si="21"/>
        <v>Tools and systems Negative</v>
      </c>
      <c r="Q254" s="27" t="str">
        <f t="shared" si="22"/>
        <v>Everyone else</v>
      </c>
      <c r="R254" s="27" t="str">
        <f t="shared" si="23"/>
        <v>Everyone else</v>
      </c>
    </row>
    <row r="255" spans="1:18" ht="23.25" customHeight="1" x14ac:dyDescent="0.25">
      <c r="A255" s="25" t="s">
        <v>453</v>
      </c>
      <c r="B255" s="26" t="s">
        <v>91</v>
      </c>
      <c r="C255" s="25" t="s">
        <v>74</v>
      </c>
      <c r="D255" s="25">
        <v>4</v>
      </c>
      <c r="E255" s="25">
        <v>3</v>
      </c>
      <c r="F255" s="25">
        <v>2</v>
      </c>
      <c r="G255" s="25">
        <v>3</v>
      </c>
      <c r="H255" s="25">
        <v>4</v>
      </c>
      <c r="I255" s="25">
        <v>5</v>
      </c>
      <c r="J255" s="26" t="s">
        <v>232</v>
      </c>
      <c r="K255" s="26" t="s">
        <v>516</v>
      </c>
      <c r="L255" s="25" t="s">
        <v>519</v>
      </c>
      <c r="M255" s="27" t="str">
        <f t="shared" si="18"/>
        <v>Everyone else</v>
      </c>
      <c r="N255" s="27" t="str">
        <f t="shared" si="19"/>
        <v>Flexibility Negative</v>
      </c>
      <c r="O255" s="27" t="str">
        <f t="shared" si="20"/>
        <v>Everyone else</v>
      </c>
      <c r="P255" s="27" t="str">
        <f t="shared" si="21"/>
        <v>Everyone else</v>
      </c>
      <c r="Q255" s="27" t="str">
        <f t="shared" si="22"/>
        <v>Everyone else</v>
      </c>
      <c r="R255" s="27" t="str">
        <f t="shared" si="23"/>
        <v>Everyone else</v>
      </c>
    </row>
    <row r="256" spans="1:18" ht="34.5" customHeight="1" x14ac:dyDescent="0.25">
      <c r="A256" s="25" t="s">
        <v>454</v>
      </c>
      <c r="B256" s="26" t="s">
        <v>77</v>
      </c>
      <c r="C256" s="25" t="s">
        <v>94</v>
      </c>
      <c r="D256" s="25">
        <v>2</v>
      </c>
      <c r="E256" s="25">
        <v>2</v>
      </c>
      <c r="F256" s="25">
        <v>3</v>
      </c>
      <c r="G256" s="25">
        <v>4</v>
      </c>
      <c r="H256" s="25">
        <v>3</v>
      </c>
      <c r="I256" s="25">
        <v>4</v>
      </c>
      <c r="J256" s="26" t="s">
        <v>455</v>
      </c>
      <c r="K256" s="26" t="s">
        <v>541</v>
      </c>
      <c r="L256" s="25" t="s">
        <v>519</v>
      </c>
      <c r="M256" s="27" t="str">
        <f t="shared" si="18"/>
        <v>Everyone else</v>
      </c>
      <c r="N256" s="27" t="str">
        <f t="shared" si="19"/>
        <v>Everyone else</v>
      </c>
      <c r="O256" s="27" t="str">
        <f t="shared" si="20"/>
        <v>Everyone else</v>
      </c>
      <c r="P256" s="27" t="str">
        <f t="shared" si="21"/>
        <v>Tools and systems Negative</v>
      </c>
      <c r="Q256" s="27" t="str">
        <f t="shared" si="22"/>
        <v>Everyone else</v>
      </c>
      <c r="R256" s="27" t="str">
        <f t="shared" si="23"/>
        <v>Career growth Negative</v>
      </c>
    </row>
    <row r="257" spans="1:18" ht="34.5" customHeight="1" x14ac:dyDescent="0.25">
      <c r="A257" s="25" t="s">
        <v>456</v>
      </c>
      <c r="B257" s="26" t="s">
        <v>82</v>
      </c>
      <c r="C257" s="25" t="s">
        <v>85</v>
      </c>
      <c r="D257" s="25">
        <v>3</v>
      </c>
      <c r="E257" s="25">
        <v>3</v>
      </c>
      <c r="F257" s="25">
        <v>3</v>
      </c>
      <c r="G257" s="25">
        <v>3</v>
      </c>
      <c r="H257" s="25">
        <v>1</v>
      </c>
      <c r="I257" s="25">
        <v>6</v>
      </c>
      <c r="J257" s="26" t="s">
        <v>190</v>
      </c>
      <c r="K257" s="26" t="s">
        <v>533</v>
      </c>
      <c r="L257" s="25" t="s">
        <v>519</v>
      </c>
      <c r="M257" s="27" t="str">
        <f t="shared" si="18"/>
        <v>Everyone else</v>
      </c>
      <c r="N257" s="27" t="str">
        <f t="shared" si="19"/>
        <v>Everyone else</v>
      </c>
      <c r="O257" s="27" t="str">
        <f t="shared" si="20"/>
        <v>Workload Negative</v>
      </c>
      <c r="P257" s="27" t="str">
        <f t="shared" si="21"/>
        <v>Tools and systems Negative</v>
      </c>
      <c r="Q257" s="27" t="str">
        <f t="shared" si="22"/>
        <v>Everyone else</v>
      </c>
      <c r="R257" s="27" t="str">
        <f t="shared" si="23"/>
        <v>Everyone else</v>
      </c>
    </row>
    <row r="258" spans="1:18" ht="34.5" customHeight="1" x14ac:dyDescent="0.25">
      <c r="A258" s="25" t="s">
        <v>457</v>
      </c>
      <c r="B258" s="26" t="s">
        <v>118</v>
      </c>
      <c r="C258" s="25" t="s">
        <v>85</v>
      </c>
      <c r="D258" s="25">
        <v>2</v>
      </c>
      <c r="E258" s="25">
        <v>3</v>
      </c>
      <c r="F258" s="25">
        <v>4</v>
      </c>
      <c r="G258" s="25">
        <v>2</v>
      </c>
      <c r="H258" s="25">
        <v>2</v>
      </c>
      <c r="I258" s="25">
        <v>4</v>
      </c>
      <c r="J258" s="26" t="s">
        <v>458</v>
      </c>
      <c r="K258" s="26" t="s">
        <v>517</v>
      </c>
      <c r="L258" s="25" t="s">
        <v>519</v>
      </c>
      <c r="M258" s="27" t="str">
        <f t="shared" ref="M258:M321" si="24">IF(AND(ISNUMBER(SEARCH("Manager support",K258)),L258="Negative"),"Manager support Negative","Everyone else")</f>
        <v>Manager support Negative</v>
      </c>
      <c r="N258" s="27" t="str">
        <f t="shared" ref="N258:N301" si="25">IF(AND(ISNUMBER(SEARCH("Flexibility",K258)),L258="Negative"),"Flexibility Negative","Everyone else")</f>
        <v>Flexibility Negative</v>
      </c>
      <c r="O258" s="27" t="str">
        <f t="shared" ref="O258:O301" si="26">IF(AND(ISNUMBER(SEARCH("Workload",K258)),L258="Negative"),"Workload Negative","Everyone else")</f>
        <v>Everyone else</v>
      </c>
      <c r="P258" s="27" t="str">
        <f t="shared" ref="P258:P301" si="27">IF(AND(ISNUMBER(SEARCH("Tools and systems",K258)),L258="Negative"),"Tools and systems Negative","Everyone else")</f>
        <v>Everyone else</v>
      </c>
      <c r="Q258" s="27" t="str">
        <f t="shared" ref="Q258:Q301" si="28">IF(AND(ISNUMBER(SEARCH("Pay and benefits",K258)),L258="Negative"),"Pay and benefits Negative","Everyone else")</f>
        <v>Everyone else</v>
      </c>
      <c r="R258" s="27" t="str">
        <f t="shared" ref="R258:R301" si="29">IF(AND(ISNUMBER(SEARCH("Career growth",K258)),L258="Negative"),"Career growth Negative","Everyone else")</f>
        <v>Everyone else</v>
      </c>
    </row>
    <row r="259" spans="1:18" ht="34.5" customHeight="1" x14ac:dyDescent="0.25">
      <c r="A259" s="25" t="s">
        <v>459</v>
      </c>
      <c r="B259" s="26" t="s">
        <v>73</v>
      </c>
      <c r="C259" s="25" t="s">
        <v>94</v>
      </c>
      <c r="D259" s="25">
        <v>2</v>
      </c>
      <c r="E259" s="25">
        <v>4</v>
      </c>
      <c r="F259" s="25">
        <v>2</v>
      </c>
      <c r="G259" s="25">
        <v>3</v>
      </c>
      <c r="H259" s="25">
        <v>3</v>
      </c>
      <c r="I259" s="25">
        <v>1</v>
      </c>
      <c r="J259" s="26" t="s">
        <v>201</v>
      </c>
      <c r="K259" s="26" t="s">
        <v>528</v>
      </c>
      <c r="L259" s="25" t="s">
        <v>519</v>
      </c>
      <c r="M259" s="27" t="str">
        <f t="shared" si="24"/>
        <v>Everyone else</v>
      </c>
      <c r="N259" s="27" t="str">
        <f t="shared" si="25"/>
        <v>Everyone else</v>
      </c>
      <c r="O259" s="27" t="str">
        <f t="shared" si="26"/>
        <v>Everyone else</v>
      </c>
      <c r="P259" s="27" t="str">
        <f t="shared" si="27"/>
        <v>Tools and systems Negative</v>
      </c>
      <c r="Q259" s="27" t="str">
        <f t="shared" si="28"/>
        <v>Everyone else</v>
      </c>
      <c r="R259" s="27" t="str">
        <f t="shared" si="29"/>
        <v>Everyone else</v>
      </c>
    </row>
    <row r="260" spans="1:18" ht="15" customHeight="1" x14ac:dyDescent="0.25">
      <c r="A260" s="25" t="s">
        <v>460</v>
      </c>
      <c r="B260" s="26" t="s">
        <v>108</v>
      </c>
      <c r="C260" s="25" t="s">
        <v>88</v>
      </c>
      <c r="D260" s="25">
        <v>4</v>
      </c>
      <c r="E260" s="25">
        <v>4</v>
      </c>
      <c r="F260" s="25">
        <v>3</v>
      </c>
      <c r="G260" s="25">
        <v>4</v>
      </c>
      <c r="H260" s="25">
        <v>3</v>
      </c>
      <c r="I260" s="25">
        <v>8</v>
      </c>
      <c r="J260" s="26" t="s">
        <v>261</v>
      </c>
      <c r="K260" s="26" t="s">
        <v>521</v>
      </c>
      <c r="L260" s="25" t="s">
        <v>515</v>
      </c>
      <c r="M260" s="27" t="str">
        <f t="shared" si="24"/>
        <v>Everyone else</v>
      </c>
      <c r="N260" s="27" t="str">
        <f t="shared" si="25"/>
        <v>Everyone else</v>
      </c>
      <c r="O260" s="27" t="str">
        <f t="shared" si="26"/>
        <v>Everyone else</v>
      </c>
      <c r="P260" s="27" t="str">
        <f t="shared" si="27"/>
        <v>Everyone else</v>
      </c>
      <c r="Q260" s="27" t="str">
        <f t="shared" si="28"/>
        <v>Everyone else</v>
      </c>
      <c r="R260" s="27" t="str">
        <f t="shared" si="29"/>
        <v>Everyone else</v>
      </c>
    </row>
    <row r="261" spans="1:18" ht="15" customHeight="1" x14ac:dyDescent="0.25">
      <c r="A261" s="25" t="s">
        <v>461</v>
      </c>
      <c r="B261" s="26" t="s">
        <v>73</v>
      </c>
      <c r="C261" s="25" t="s">
        <v>88</v>
      </c>
      <c r="D261" s="25">
        <v>4</v>
      </c>
      <c r="E261" s="25">
        <v>5</v>
      </c>
      <c r="F261" s="25">
        <v>4</v>
      </c>
      <c r="G261" s="25">
        <v>3</v>
      </c>
      <c r="H261" s="25">
        <v>5</v>
      </c>
      <c r="I261" s="25">
        <v>7</v>
      </c>
      <c r="J261" s="26" t="s">
        <v>75</v>
      </c>
      <c r="K261" s="26" t="s">
        <v>514</v>
      </c>
      <c r="L261" s="25" t="s">
        <v>515</v>
      </c>
      <c r="M261" s="27" t="str">
        <f t="shared" si="24"/>
        <v>Everyone else</v>
      </c>
      <c r="N261" s="27" t="str">
        <f t="shared" si="25"/>
        <v>Everyone else</v>
      </c>
      <c r="O261" s="27" t="str">
        <f t="shared" si="26"/>
        <v>Everyone else</v>
      </c>
      <c r="P261" s="27" t="str">
        <f t="shared" si="27"/>
        <v>Everyone else</v>
      </c>
      <c r="Q261" s="27" t="str">
        <f t="shared" si="28"/>
        <v>Everyone else</v>
      </c>
      <c r="R261" s="27" t="str">
        <f t="shared" si="29"/>
        <v>Everyone else</v>
      </c>
    </row>
    <row r="262" spans="1:18" ht="34.5" customHeight="1" x14ac:dyDescent="0.25">
      <c r="A262" s="25" t="s">
        <v>462</v>
      </c>
      <c r="B262" s="26" t="s">
        <v>73</v>
      </c>
      <c r="C262" s="25" t="s">
        <v>74</v>
      </c>
      <c r="D262" s="25">
        <v>2</v>
      </c>
      <c r="E262" s="25">
        <v>2</v>
      </c>
      <c r="F262" s="25">
        <v>2</v>
      </c>
      <c r="G262" s="25">
        <v>4</v>
      </c>
      <c r="H262" s="25">
        <v>4</v>
      </c>
      <c r="I262" s="25">
        <v>4</v>
      </c>
      <c r="J262" s="26" t="s">
        <v>207</v>
      </c>
      <c r="K262" s="26" t="s">
        <v>544</v>
      </c>
      <c r="L262" s="25" t="s">
        <v>519</v>
      </c>
      <c r="M262" s="27" t="str">
        <f t="shared" si="24"/>
        <v>Manager support Negative</v>
      </c>
      <c r="N262" s="27" t="str">
        <f t="shared" si="25"/>
        <v>Flexibility Negative</v>
      </c>
      <c r="O262" s="27" t="str">
        <f t="shared" si="26"/>
        <v>Everyone else</v>
      </c>
      <c r="P262" s="27" t="str">
        <f t="shared" si="27"/>
        <v>Everyone else</v>
      </c>
      <c r="Q262" s="27" t="str">
        <f t="shared" si="28"/>
        <v>Everyone else</v>
      </c>
      <c r="R262" s="27" t="str">
        <f t="shared" si="29"/>
        <v>Everyone else</v>
      </c>
    </row>
    <row r="263" spans="1:18" ht="34.5" customHeight="1" x14ac:dyDescent="0.25">
      <c r="A263" s="25" t="s">
        <v>463</v>
      </c>
      <c r="B263" s="26" t="s">
        <v>108</v>
      </c>
      <c r="C263" s="25" t="s">
        <v>88</v>
      </c>
      <c r="D263" s="25">
        <v>2</v>
      </c>
      <c r="E263" s="25">
        <v>3</v>
      </c>
      <c r="F263" s="25">
        <v>2</v>
      </c>
      <c r="G263" s="25">
        <v>2</v>
      </c>
      <c r="H263" s="25">
        <v>2</v>
      </c>
      <c r="I263" s="25">
        <v>8</v>
      </c>
      <c r="J263" s="26" t="s">
        <v>111</v>
      </c>
      <c r="K263" s="26" t="s">
        <v>525</v>
      </c>
      <c r="L263" s="25" t="s">
        <v>519</v>
      </c>
      <c r="M263" s="27" t="str">
        <f t="shared" si="24"/>
        <v>Everyone else</v>
      </c>
      <c r="N263" s="27" t="str">
        <f t="shared" si="25"/>
        <v>Everyone else</v>
      </c>
      <c r="O263" s="27" t="str">
        <f t="shared" si="26"/>
        <v>Everyone else</v>
      </c>
      <c r="P263" s="27" t="str">
        <f t="shared" si="27"/>
        <v>Everyone else</v>
      </c>
      <c r="Q263" s="27" t="str">
        <f t="shared" si="28"/>
        <v>Pay and benefits Negative</v>
      </c>
      <c r="R263" s="27" t="str">
        <f t="shared" si="29"/>
        <v>Everyone else</v>
      </c>
    </row>
    <row r="264" spans="1:18" ht="15" customHeight="1" x14ac:dyDescent="0.25">
      <c r="A264" s="25" t="s">
        <v>464</v>
      </c>
      <c r="B264" s="26" t="s">
        <v>73</v>
      </c>
      <c r="C264" s="25" t="s">
        <v>88</v>
      </c>
      <c r="D264" s="25">
        <v>5</v>
      </c>
      <c r="E264" s="25">
        <v>5</v>
      </c>
      <c r="F264" s="25">
        <v>4</v>
      </c>
      <c r="G264" s="25">
        <v>4</v>
      </c>
      <c r="H264" s="25">
        <v>4</v>
      </c>
      <c r="I264" s="25">
        <v>7</v>
      </c>
      <c r="J264" s="26" t="s">
        <v>465</v>
      </c>
      <c r="K264" s="26" t="s">
        <v>551</v>
      </c>
      <c r="L264" s="25" t="s">
        <v>515</v>
      </c>
      <c r="M264" s="27" t="str">
        <f t="shared" si="24"/>
        <v>Everyone else</v>
      </c>
      <c r="N264" s="27" t="str">
        <f t="shared" si="25"/>
        <v>Everyone else</v>
      </c>
      <c r="O264" s="27" t="str">
        <f t="shared" si="26"/>
        <v>Everyone else</v>
      </c>
      <c r="P264" s="27" t="str">
        <f t="shared" si="27"/>
        <v>Everyone else</v>
      </c>
      <c r="Q264" s="27" t="str">
        <f t="shared" si="28"/>
        <v>Everyone else</v>
      </c>
      <c r="R264" s="27" t="str">
        <f t="shared" si="29"/>
        <v>Everyone else</v>
      </c>
    </row>
    <row r="265" spans="1:18" ht="15" customHeight="1" x14ac:dyDescent="0.25">
      <c r="A265" s="25" t="s">
        <v>466</v>
      </c>
      <c r="B265" s="26" t="s">
        <v>118</v>
      </c>
      <c r="C265" s="25" t="s">
        <v>85</v>
      </c>
      <c r="D265" s="25">
        <v>4</v>
      </c>
      <c r="E265" s="25">
        <v>5</v>
      </c>
      <c r="F265" s="25">
        <v>3</v>
      </c>
      <c r="G265" s="25">
        <v>4</v>
      </c>
      <c r="H265" s="25">
        <v>5</v>
      </c>
      <c r="I265" s="25">
        <v>6</v>
      </c>
      <c r="J265" s="26" t="s">
        <v>125</v>
      </c>
      <c r="K265" s="26" t="s">
        <v>528</v>
      </c>
      <c r="L265" s="25" t="s">
        <v>515</v>
      </c>
      <c r="M265" s="27" t="str">
        <f t="shared" si="24"/>
        <v>Everyone else</v>
      </c>
      <c r="N265" s="27" t="str">
        <f t="shared" si="25"/>
        <v>Everyone else</v>
      </c>
      <c r="O265" s="27" t="str">
        <f t="shared" si="26"/>
        <v>Everyone else</v>
      </c>
      <c r="P265" s="27" t="str">
        <f t="shared" si="27"/>
        <v>Everyone else</v>
      </c>
      <c r="Q265" s="27" t="str">
        <f t="shared" si="28"/>
        <v>Everyone else</v>
      </c>
      <c r="R265" s="27" t="str">
        <f t="shared" si="29"/>
        <v>Everyone else</v>
      </c>
    </row>
    <row r="266" spans="1:18" ht="15" customHeight="1" x14ac:dyDescent="0.25">
      <c r="A266" s="25" t="s">
        <v>467</v>
      </c>
      <c r="B266" s="26" t="s">
        <v>118</v>
      </c>
      <c r="C266" s="25" t="s">
        <v>85</v>
      </c>
      <c r="D266" s="25">
        <v>4</v>
      </c>
      <c r="E266" s="25">
        <v>4</v>
      </c>
      <c r="F266" s="25">
        <v>4</v>
      </c>
      <c r="G266" s="25">
        <v>4</v>
      </c>
      <c r="H266" s="25">
        <v>4</v>
      </c>
      <c r="I266" s="25">
        <v>7</v>
      </c>
      <c r="J266" s="26" t="s">
        <v>261</v>
      </c>
      <c r="K266" s="26" t="s">
        <v>521</v>
      </c>
      <c r="L266" s="25" t="s">
        <v>515</v>
      </c>
      <c r="M266" s="27" t="str">
        <f t="shared" si="24"/>
        <v>Everyone else</v>
      </c>
      <c r="N266" s="27" t="str">
        <f t="shared" si="25"/>
        <v>Everyone else</v>
      </c>
      <c r="O266" s="27" t="str">
        <f t="shared" si="26"/>
        <v>Everyone else</v>
      </c>
      <c r="P266" s="27" t="str">
        <f t="shared" si="27"/>
        <v>Everyone else</v>
      </c>
      <c r="Q266" s="27" t="str">
        <f t="shared" si="28"/>
        <v>Everyone else</v>
      </c>
      <c r="R266" s="27" t="str">
        <f t="shared" si="29"/>
        <v>Everyone else</v>
      </c>
    </row>
    <row r="267" spans="1:18" ht="34.5" customHeight="1" x14ac:dyDescent="0.25">
      <c r="A267" s="25" t="s">
        <v>468</v>
      </c>
      <c r="B267" s="26" t="s">
        <v>118</v>
      </c>
      <c r="C267" s="25" t="s">
        <v>85</v>
      </c>
      <c r="D267" s="25">
        <v>4</v>
      </c>
      <c r="E267" s="25">
        <v>3</v>
      </c>
      <c r="F267" s="25">
        <v>2</v>
      </c>
      <c r="G267" s="25">
        <v>3</v>
      </c>
      <c r="H267" s="25">
        <v>2</v>
      </c>
      <c r="I267" s="25">
        <v>4</v>
      </c>
      <c r="J267" s="26" t="s">
        <v>469</v>
      </c>
      <c r="K267" s="26" t="s">
        <v>534</v>
      </c>
      <c r="L267" s="25" t="s">
        <v>519</v>
      </c>
      <c r="M267" s="27" t="str">
        <f t="shared" si="24"/>
        <v>Everyone else</v>
      </c>
      <c r="N267" s="27" t="str">
        <f t="shared" si="25"/>
        <v>Flexibility Negative</v>
      </c>
      <c r="O267" s="27" t="str">
        <f t="shared" si="26"/>
        <v>Everyone else</v>
      </c>
      <c r="P267" s="27" t="str">
        <f t="shared" si="27"/>
        <v>Everyone else</v>
      </c>
      <c r="Q267" s="27" t="str">
        <f t="shared" si="28"/>
        <v>Pay and benefits Negative</v>
      </c>
      <c r="R267" s="27" t="str">
        <f t="shared" si="29"/>
        <v>Everyone else</v>
      </c>
    </row>
    <row r="268" spans="1:18" ht="23.25" customHeight="1" x14ac:dyDescent="0.25">
      <c r="A268" s="25" t="s">
        <v>470</v>
      </c>
      <c r="B268" s="26" t="s">
        <v>91</v>
      </c>
      <c r="C268" s="25" t="s">
        <v>88</v>
      </c>
      <c r="D268" s="25">
        <v>4</v>
      </c>
      <c r="E268" s="25">
        <v>5</v>
      </c>
      <c r="F268" s="25">
        <v>4</v>
      </c>
      <c r="G268" s="25">
        <v>3</v>
      </c>
      <c r="H268" s="25">
        <v>4</v>
      </c>
      <c r="I268" s="25">
        <v>9</v>
      </c>
      <c r="J268" s="26" t="s">
        <v>155</v>
      </c>
      <c r="K268" s="26" t="s">
        <v>524</v>
      </c>
      <c r="L268" s="25" t="s">
        <v>515</v>
      </c>
      <c r="M268" s="27" t="str">
        <f t="shared" si="24"/>
        <v>Everyone else</v>
      </c>
      <c r="N268" s="27" t="str">
        <f t="shared" si="25"/>
        <v>Everyone else</v>
      </c>
      <c r="O268" s="27" t="str">
        <f t="shared" si="26"/>
        <v>Everyone else</v>
      </c>
      <c r="P268" s="27" t="str">
        <f t="shared" si="27"/>
        <v>Everyone else</v>
      </c>
      <c r="Q268" s="27" t="str">
        <f t="shared" si="28"/>
        <v>Everyone else</v>
      </c>
      <c r="R268" s="27" t="str">
        <f t="shared" si="29"/>
        <v>Everyone else</v>
      </c>
    </row>
    <row r="269" spans="1:18" ht="23.25" customHeight="1" x14ac:dyDescent="0.25">
      <c r="A269" s="25" t="s">
        <v>471</v>
      </c>
      <c r="B269" s="26" t="s">
        <v>73</v>
      </c>
      <c r="C269" s="25" t="s">
        <v>85</v>
      </c>
      <c r="D269" s="25">
        <v>4</v>
      </c>
      <c r="E269" s="25">
        <v>3</v>
      </c>
      <c r="F269" s="25">
        <v>5</v>
      </c>
      <c r="G269" s="25">
        <v>5</v>
      </c>
      <c r="H269" s="25">
        <v>4</v>
      </c>
      <c r="I269" s="25">
        <v>10</v>
      </c>
      <c r="J269" s="26" t="s">
        <v>224</v>
      </c>
      <c r="K269" s="26" t="s">
        <v>548</v>
      </c>
      <c r="L269" s="25" t="s">
        <v>515</v>
      </c>
      <c r="M269" s="27" t="str">
        <f t="shared" si="24"/>
        <v>Everyone else</v>
      </c>
      <c r="N269" s="27" t="str">
        <f t="shared" si="25"/>
        <v>Everyone else</v>
      </c>
      <c r="O269" s="27" t="str">
        <f t="shared" si="26"/>
        <v>Everyone else</v>
      </c>
      <c r="P269" s="27" t="str">
        <f t="shared" si="27"/>
        <v>Everyone else</v>
      </c>
      <c r="Q269" s="27" t="str">
        <f t="shared" si="28"/>
        <v>Everyone else</v>
      </c>
      <c r="R269" s="27" t="str">
        <f t="shared" si="29"/>
        <v>Everyone else</v>
      </c>
    </row>
    <row r="270" spans="1:18" ht="34.5" customHeight="1" x14ac:dyDescent="0.25">
      <c r="A270" s="25" t="s">
        <v>472</v>
      </c>
      <c r="B270" s="26" t="s">
        <v>108</v>
      </c>
      <c r="C270" s="25" t="s">
        <v>94</v>
      </c>
      <c r="D270" s="25">
        <v>3</v>
      </c>
      <c r="E270" s="25">
        <v>2</v>
      </c>
      <c r="F270" s="25">
        <v>3</v>
      </c>
      <c r="G270" s="25">
        <v>2</v>
      </c>
      <c r="H270" s="25">
        <v>2</v>
      </c>
      <c r="I270" s="25">
        <v>4</v>
      </c>
      <c r="J270" s="26" t="s">
        <v>473</v>
      </c>
      <c r="K270" s="26" t="s">
        <v>550</v>
      </c>
      <c r="L270" s="25" t="s">
        <v>519</v>
      </c>
      <c r="M270" s="27" t="str">
        <f t="shared" si="24"/>
        <v>Manager support Negative</v>
      </c>
      <c r="N270" s="27" t="str">
        <f t="shared" si="25"/>
        <v>Everyone else</v>
      </c>
      <c r="O270" s="27" t="str">
        <f t="shared" si="26"/>
        <v>Workload Negative</v>
      </c>
      <c r="P270" s="27" t="str">
        <f t="shared" si="27"/>
        <v>Everyone else</v>
      </c>
      <c r="Q270" s="27" t="str">
        <f t="shared" si="28"/>
        <v>Everyone else</v>
      </c>
      <c r="R270" s="27" t="str">
        <f t="shared" si="29"/>
        <v>Everyone else</v>
      </c>
    </row>
    <row r="271" spans="1:18" ht="34.5" customHeight="1" x14ac:dyDescent="0.25">
      <c r="A271" s="25" t="s">
        <v>474</v>
      </c>
      <c r="B271" s="26" t="s">
        <v>118</v>
      </c>
      <c r="C271" s="25" t="s">
        <v>94</v>
      </c>
      <c r="D271" s="25">
        <v>4</v>
      </c>
      <c r="E271" s="25">
        <v>3</v>
      </c>
      <c r="F271" s="25">
        <v>3</v>
      </c>
      <c r="G271" s="25">
        <v>1</v>
      </c>
      <c r="H271" s="25">
        <v>2</v>
      </c>
      <c r="I271" s="25">
        <v>3</v>
      </c>
      <c r="J271" s="26" t="s">
        <v>258</v>
      </c>
      <c r="K271" s="26" t="s">
        <v>525</v>
      </c>
      <c r="L271" s="25" t="s">
        <v>519</v>
      </c>
      <c r="M271" s="27" t="str">
        <f t="shared" si="24"/>
        <v>Everyone else</v>
      </c>
      <c r="N271" s="27" t="str">
        <f t="shared" si="25"/>
        <v>Everyone else</v>
      </c>
      <c r="O271" s="27" t="str">
        <f t="shared" si="26"/>
        <v>Everyone else</v>
      </c>
      <c r="P271" s="27" t="str">
        <f t="shared" si="27"/>
        <v>Everyone else</v>
      </c>
      <c r="Q271" s="27" t="str">
        <f t="shared" si="28"/>
        <v>Pay and benefits Negative</v>
      </c>
      <c r="R271" s="27" t="str">
        <f t="shared" si="29"/>
        <v>Everyone else</v>
      </c>
    </row>
    <row r="272" spans="1:18" ht="23.25" customHeight="1" x14ac:dyDescent="0.25">
      <c r="A272" s="25" t="s">
        <v>475</v>
      </c>
      <c r="B272" s="26" t="s">
        <v>77</v>
      </c>
      <c r="C272" s="25" t="s">
        <v>94</v>
      </c>
      <c r="D272" s="25">
        <v>5</v>
      </c>
      <c r="E272" s="25">
        <v>4</v>
      </c>
      <c r="F272" s="25">
        <v>3</v>
      </c>
      <c r="G272" s="25">
        <v>3</v>
      </c>
      <c r="H272" s="25">
        <v>4</v>
      </c>
      <c r="I272" s="25">
        <v>6</v>
      </c>
      <c r="J272" s="26" t="s">
        <v>172</v>
      </c>
      <c r="K272" s="26" t="s">
        <v>520</v>
      </c>
      <c r="L272" s="25" t="s">
        <v>515</v>
      </c>
      <c r="M272" s="27" t="str">
        <f t="shared" si="24"/>
        <v>Everyone else</v>
      </c>
      <c r="N272" s="27" t="str">
        <f t="shared" si="25"/>
        <v>Everyone else</v>
      </c>
      <c r="O272" s="27" t="str">
        <f t="shared" si="26"/>
        <v>Everyone else</v>
      </c>
      <c r="P272" s="27" t="str">
        <f t="shared" si="27"/>
        <v>Everyone else</v>
      </c>
      <c r="Q272" s="27" t="str">
        <f t="shared" si="28"/>
        <v>Everyone else</v>
      </c>
      <c r="R272" s="27" t="str">
        <f t="shared" si="29"/>
        <v>Everyone else</v>
      </c>
    </row>
    <row r="273" spans="1:18" ht="34.5" customHeight="1" x14ac:dyDescent="0.25">
      <c r="A273" s="25" t="s">
        <v>476</v>
      </c>
      <c r="B273" s="26" t="s">
        <v>91</v>
      </c>
      <c r="C273" s="25" t="s">
        <v>74</v>
      </c>
      <c r="D273" s="25">
        <v>3</v>
      </c>
      <c r="E273" s="25">
        <v>2</v>
      </c>
      <c r="F273" s="25">
        <v>3</v>
      </c>
      <c r="G273" s="25">
        <v>2</v>
      </c>
      <c r="H273" s="25">
        <v>3</v>
      </c>
      <c r="I273" s="25">
        <v>7</v>
      </c>
      <c r="J273" s="26" t="s">
        <v>477</v>
      </c>
      <c r="K273" s="26" t="s">
        <v>549</v>
      </c>
      <c r="L273" s="25" t="s">
        <v>519</v>
      </c>
      <c r="M273" s="27" t="str">
        <f t="shared" si="24"/>
        <v>Manager support Negative</v>
      </c>
      <c r="N273" s="27" t="str">
        <f t="shared" si="25"/>
        <v>Everyone else</v>
      </c>
      <c r="O273" s="27" t="str">
        <f t="shared" si="26"/>
        <v>Everyone else</v>
      </c>
      <c r="P273" s="27" t="str">
        <f t="shared" si="27"/>
        <v>Everyone else</v>
      </c>
      <c r="Q273" s="27" t="str">
        <f t="shared" si="28"/>
        <v>Everyone else</v>
      </c>
      <c r="R273" s="27" t="str">
        <f t="shared" si="29"/>
        <v>Career growth Negative</v>
      </c>
    </row>
    <row r="274" spans="1:18" ht="23.25" customHeight="1" x14ac:dyDescent="0.25">
      <c r="A274" s="25" t="s">
        <v>478</v>
      </c>
      <c r="B274" s="26" t="s">
        <v>118</v>
      </c>
      <c r="C274" s="25" t="s">
        <v>74</v>
      </c>
      <c r="D274" s="25">
        <v>3</v>
      </c>
      <c r="E274" s="25">
        <v>4</v>
      </c>
      <c r="F274" s="25">
        <v>3</v>
      </c>
      <c r="G274" s="25">
        <v>3</v>
      </c>
      <c r="H274" s="25">
        <v>4</v>
      </c>
      <c r="I274" s="25">
        <v>4</v>
      </c>
      <c r="J274" s="26" t="s">
        <v>141</v>
      </c>
      <c r="K274" s="26" t="s">
        <v>521</v>
      </c>
      <c r="L274" s="25" t="s">
        <v>519</v>
      </c>
      <c r="M274" s="27" t="str">
        <f t="shared" si="24"/>
        <v>Everyone else</v>
      </c>
      <c r="N274" s="27" t="str">
        <f t="shared" si="25"/>
        <v>Everyone else</v>
      </c>
      <c r="O274" s="27" t="str">
        <f t="shared" si="26"/>
        <v>Workload Negative</v>
      </c>
      <c r="P274" s="27" t="str">
        <f t="shared" si="27"/>
        <v>Everyone else</v>
      </c>
      <c r="Q274" s="27" t="str">
        <f t="shared" si="28"/>
        <v>Everyone else</v>
      </c>
      <c r="R274" s="27" t="str">
        <f t="shared" si="29"/>
        <v>Everyone else</v>
      </c>
    </row>
    <row r="275" spans="1:18" ht="34.5" customHeight="1" x14ac:dyDescent="0.25">
      <c r="A275" s="25" t="s">
        <v>479</v>
      </c>
      <c r="B275" s="26" t="s">
        <v>77</v>
      </c>
      <c r="C275" s="25" t="s">
        <v>85</v>
      </c>
      <c r="D275" s="25">
        <v>4</v>
      </c>
      <c r="E275" s="25">
        <v>2</v>
      </c>
      <c r="F275" s="25">
        <v>3</v>
      </c>
      <c r="G275" s="25">
        <v>2</v>
      </c>
      <c r="H275" s="25">
        <v>5</v>
      </c>
      <c r="I275" s="25">
        <v>1</v>
      </c>
      <c r="J275" s="26" t="s">
        <v>417</v>
      </c>
      <c r="K275" s="26" t="s">
        <v>538</v>
      </c>
      <c r="L275" s="25" t="s">
        <v>519</v>
      </c>
      <c r="M275" s="27" t="str">
        <f t="shared" si="24"/>
        <v>Manager support Negative</v>
      </c>
      <c r="N275" s="27" t="str">
        <f t="shared" si="25"/>
        <v>Everyone else</v>
      </c>
      <c r="O275" s="27" t="str">
        <f t="shared" si="26"/>
        <v>Workload Negative</v>
      </c>
      <c r="P275" s="27" t="str">
        <f t="shared" si="27"/>
        <v>Everyone else</v>
      </c>
      <c r="Q275" s="27" t="str">
        <f t="shared" si="28"/>
        <v>Everyone else</v>
      </c>
      <c r="R275" s="27" t="str">
        <f t="shared" si="29"/>
        <v>Everyone else</v>
      </c>
    </row>
    <row r="276" spans="1:18" ht="15" customHeight="1" x14ac:dyDescent="0.25">
      <c r="A276" s="25" t="s">
        <v>480</v>
      </c>
      <c r="B276" s="26" t="s">
        <v>82</v>
      </c>
      <c r="C276" s="25" t="s">
        <v>74</v>
      </c>
      <c r="D276" s="25">
        <v>3</v>
      </c>
      <c r="E276" s="25">
        <v>3</v>
      </c>
      <c r="F276" s="25">
        <v>5</v>
      </c>
      <c r="G276" s="25">
        <v>4</v>
      </c>
      <c r="H276" s="25">
        <v>3</v>
      </c>
      <c r="I276" s="25">
        <v>6</v>
      </c>
      <c r="J276" s="26" t="s">
        <v>261</v>
      </c>
      <c r="K276" s="26" t="s">
        <v>521</v>
      </c>
      <c r="L276" s="25" t="s">
        <v>515</v>
      </c>
      <c r="M276" s="27" t="str">
        <f t="shared" si="24"/>
        <v>Everyone else</v>
      </c>
      <c r="N276" s="27" t="str">
        <f t="shared" si="25"/>
        <v>Everyone else</v>
      </c>
      <c r="O276" s="27" t="str">
        <f t="shared" si="26"/>
        <v>Everyone else</v>
      </c>
      <c r="P276" s="27" t="str">
        <f t="shared" si="27"/>
        <v>Everyone else</v>
      </c>
      <c r="Q276" s="27" t="str">
        <f t="shared" si="28"/>
        <v>Everyone else</v>
      </c>
      <c r="R276" s="27" t="str">
        <f t="shared" si="29"/>
        <v>Everyone else</v>
      </c>
    </row>
    <row r="277" spans="1:18" ht="15" customHeight="1" x14ac:dyDescent="0.25">
      <c r="A277" s="25" t="s">
        <v>481</v>
      </c>
      <c r="B277" s="26" t="s">
        <v>82</v>
      </c>
      <c r="C277" s="25" t="s">
        <v>74</v>
      </c>
      <c r="D277" s="25">
        <v>4</v>
      </c>
      <c r="E277" s="25">
        <v>4</v>
      </c>
      <c r="F277" s="25">
        <v>3</v>
      </c>
      <c r="G277" s="25">
        <v>4</v>
      </c>
      <c r="H277" s="25">
        <v>4</v>
      </c>
      <c r="I277" s="25">
        <v>9</v>
      </c>
      <c r="J277" s="26" t="s">
        <v>78</v>
      </c>
      <c r="K277" s="26" t="s">
        <v>516</v>
      </c>
      <c r="L277" s="25" t="s">
        <v>515</v>
      </c>
      <c r="M277" s="27" t="str">
        <f t="shared" si="24"/>
        <v>Everyone else</v>
      </c>
      <c r="N277" s="27" t="str">
        <f t="shared" si="25"/>
        <v>Everyone else</v>
      </c>
      <c r="O277" s="27" t="str">
        <f t="shared" si="26"/>
        <v>Everyone else</v>
      </c>
      <c r="P277" s="27" t="str">
        <f t="shared" si="27"/>
        <v>Everyone else</v>
      </c>
      <c r="Q277" s="27" t="str">
        <f t="shared" si="28"/>
        <v>Everyone else</v>
      </c>
      <c r="R277" s="27" t="str">
        <f t="shared" si="29"/>
        <v>Everyone else</v>
      </c>
    </row>
    <row r="278" spans="1:18" ht="15" customHeight="1" x14ac:dyDescent="0.25">
      <c r="A278" s="25" t="s">
        <v>482</v>
      </c>
      <c r="B278" s="26" t="s">
        <v>118</v>
      </c>
      <c r="C278" s="25" t="s">
        <v>88</v>
      </c>
      <c r="D278" s="25">
        <v>4</v>
      </c>
      <c r="E278" s="25">
        <v>3</v>
      </c>
      <c r="F278" s="25">
        <v>4</v>
      </c>
      <c r="G278" s="25">
        <v>4</v>
      </c>
      <c r="H278" s="25">
        <v>3</v>
      </c>
      <c r="I278" s="25">
        <v>6</v>
      </c>
      <c r="J278" s="26" t="s">
        <v>75</v>
      </c>
      <c r="K278" s="26" t="s">
        <v>514</v>
      </c>
      <c r="L278" s="25" t="s">
        <v>515</v>
      </c>
      <c r="M278" s="27" t="str">
        <f t="shared" si="24"/>
        <v>Everyone else</v>
      </c>
      <c r="N278" s="27" t="str">
        <f t="shared" si="25"/>
        <v>Everyone else</v>
      </c>
      <c r="O278" s="27" t="str">
        <f t="shared" si="26"/>
        <v>Everyone else</v>
      </c>
      <c r="P278" s="27" t="str">
        <f t="shared" si="27"/>
        <v>Everyone else</v>
      </c>
      <c r="Q278" s="27" t="str">
        <f t="shared" si="28"/>
        <v>Everyone else</v>
      </c>
      <c r="R278" s="27" t="str">
        <f t="shared" si="29"/>
        <v>Everyone else</v>
      </c>
    </row>
    <row r="279" spans="1:18" ht="23.25" customHeight="1" x14ac:dyDescent="0.25">
      <c r="A279" s="25" t="s">
        <v>483</v>
      </c>
      <c r="B279" s="26" t="s">
        <v>108</v>
      </c>
      <c r="C279" s="25" t="s">
        <v>85</v>
      </c>
      <c r="D279" s="25">
        <v>4</v>
      </c>
      <c r="E279" s="25">
        <v>3</v>
      </c>
      <c r="F279" s="25">
        <v>4</v>
      </c>
      <c r="G279" s="25">
        <v>3</v>
      </c>
      <c r="H279" s="25">
        <v>4</v>
      </c>
      <c r="I279" s="25">
        <v>7</v>
      </c>
      <c r="J279" s="26" t="s">
        <v>251</v>
      </c>
      <c r="K279" s="26" t="s">
        <v>532</v>
      </c>
      <c r="L279" s="25" t="s">
        <v>519</v>
      </c>
      <c r="M279" s="27" t="str">
        <f t="shared" si="24"/>
        <v>Everyone else</v>
      </c>
      <c r="N279" s="27" t="str">
        <f t="shared" si="25"/>
        <v>Flexibility Negative</v>
      </c>
      <c r="O279" s="27" t="str">
        <f t="shared" si="26"/>
        <v>Workload Negative</v>
      </c>
      <c r="P279" s="27" t="str">
        <f t="shared" si="27"/>
        <v>Everyone else</v>
      </c>
      <c r="Q279" s="27" t="str">
        <f t="shared" si="28"/>
        <v>Everyone else</v>
      </c>
      <c r="R279" s="27" t="str">
        <f t="shared" si="29"/>
        <v>Everyone else</v>
      </c>
    </row>
    <row r="280" spans="1:18" ht="34.5" customHeight="1" x14ac:dyDescent="0.25">
      <c r="A280" s="25" t="s">
        <v>484</v>
      </c>
      <c r="B280" s="26" t="s">
        <v>73</v>
      </c>
      <c r="C280" s="25" t="s">
        <v>88</v>
      </c>
      <c r="D280" s="25">
        <v>2</v>
      </c>
      <c r="E280" s="25">
        <v>1</v>
      </c>
      <c r="F280" s="25">
        <v>3</v>
      </c>
      <c r="G280" s="25">
        <v>2</v>
      </c>
      <c r="H280" s="25">
        <v>3</v>
      </c>
      <c r="I280" s="25">
        <v>2</v>
      </c>
      <c r="J280" s="26" t="s">
        <v>219</v>
      </c>
      <c r="K280" s="26" t="s">
        <v>547</v>
      </c>
      <c r="L280" s="25" t="s">
        <v>519</v>
      </c>
      <c r="M280" s="27" t="str">
        <f t="shared" si="24"/>
        <v>Everyone else</v>
      </c>
      <c r="N280" s="27" t="str">
        <f t="shared" si="25"/>
        <v>Flexibility Negative</v>
      </c>
      <c r="O280" s="27" t="str">
        <f t="shared" si="26"/>
        <v>Everyone else</v>
      </c>
      <c r="P280" s="27" t="str">
        <f t="shared" si="27"/>
        <v>Tools and systems Negative</v>
      </c>
      <c r="Q280" s="27" t="str">
        <f t="shared" si="28"/>
        <v>Everyone else</v>
      </c>
      <c r="R280" s="27" t="str">
        <f t="shared" si="29"/>
        <v>Everyone else</v>
      </c>
    </row>
    <row r="281" spans="1:18" ht="23.25" customHeight="1" x14ac:dyDescent="0.25">
      <c r="A281" s="25" t="s">
        <v>485</v>
      </c>
      <c r="B281" s="26" t="s">
        <v>108</v>
      </c>
      <c r="C281" s="25" t="s">
        <v>94</v>
      </c>
      <c r="D281" s="25">
        <v>3</v>
      </c>
      <c r="E281" s="25">
        <v>2</v>
      </c>
      <c r="F281" s="25">
        <v>2</v>
      </c>
      <c r="G281" s="25">
        <v>3</v>
      </c>
      <c r="H281" s="25">
        <v>4</v>
      </c>
      <c r="I281" s="25">
        <v>3</v>
      </c>
      <c r="J281" s="26" t="s">
        <v>99</v>
      </c>
      <c r="K281" s="26" t="s">
        <v>520</v>
      </c>
      <c r="L281" s="25" t="s">
        <v>519</v>
      </c>
      <c r="M281" s="27" t="str">
        <f t="shared" si="24"/>
        <v>Everyone else</v>
      </c>
      <c r="N281" s="27" t="str">
        <f t="shared" si="25"/>
        <v>Everyone else</v>
      </c>
      <c r="O281" s="27" t="str">
        <f t="shared" si="26"/>
        <v>Everyone else</v>
      </c>
      <c r="P281" s="27" t="str">
        <f t="shared" si="27"/>
        <v>Everyone else</v>
      </c>
      <c r="Q281" s="27" t="str">
        <f t="shared" si="28"/>
        <v>Everyone else</v>
      </c>
      <c r="R281" s="27" t="str">
        <f t="shared" si="29"/>
        <v>Career growth Negative</v>
      </c>
    </row>
    <row r="282" spans="1:18" ht="23.25" customHeight="1" x14ac:dyDescent="0.25">
      <c r="A282" s="25" t="s">
        <v>486</v>
      </c>
      <c r="B282" s="26" t="s">
        <v>108</v>
      </c>
      <c r="C282" s="25" t="s">
        <v>94</v>
      </c>
      <c r="D282" s="25">
        <v>4</v>
      </c>
      <c r="E282" s="25">
        <v>2</v>
      </c>
      <c r="F282" s="25">
        <v>3</v>
      </c>
      <c r="G282" s="25">
        <v>3</v>
      </c>
      <c r="H282" s="25">
        <v>2</v>
      </c>
      <c r="I282" s="25">
        <v>6</v>
      </c>
      <c r="J282" s="26" t="s">
        <v>232</v>
      </c>
      <c r="K282" s="26" t="s">
        <v>516</v>
      </c>
      <c r="L282" s="25" t="s">
        <v>519</v>
      </c>
      <c r="M282" s="27" t="str">
        <f t="shared" si="24"/>
        <v>Everyone else</v>
      </c>
      <c r="N282" s="27" t="str">
        <f t="shared" si="25"/>
        <v>Flexibility Negative</v>
      </c>
      <c r="O282" s="27" t="str">
        <f t="shared" si="26"/>
        <v>Everyone else</v>
      </c>
      <c r="P282" s="27" t="str">
        <f t="shared" si="27"/>
        <v>Everyone else</v>
      </c>
      <c r="Q282" s="27" t="str">
        <f t="shared" si="28"/>
        <v>Everyone else</v>
      </c>
      <c r="R282" s="27" t="str">
        <f t="shared" si="29"/>
        <v>Everyone else</v>
      </c>
    </row>
    <row r="283" spans="1:18" ht="34.5" customHeight="1" x14ac:dyDescent="0.25">
      <c r="A283" s="25" t="s">
        <v>487</v>
      </c>
      <c r="B283" s="26" t="s">
        <v>118</v>
      </c>
      <c r="C283" s="25" t="s">
        <v>88</v>
      </c>
      <c r="D283" s="25">
        <v>2</v>
      </c>
      <c r="E283" s="25">
        <v>2</v>
      </c>
      <c r="F283" s="25">
        <v>5</v>
      </c>
      <c r="G283" s="25">
        <v>2</v>
      </c>
      <c r="H283" s="25">
        <v>3</v>
      </c>
      <c r="I283" s="25">
        <v>5</v>
      </c>
      <c r="J283" s="26" t="s">
        <v>488</v>
      </c>
      <c r="K283" s="26" t="s">
        <v>548</v>
      </c>
      <c r="L283" s="25" t="s">
        <v>519</v>
      </c>
      <c r="M283" s="27" t="str">
        <f t="shared" si="24"/>
        <v>Everyone else</v>
      </c>
      <c r="N283" s="27" t="str">
        <f t="shared" si="25"/>
        <v>Flexibility Negative</v>
      </c>
      <c r="O283" s="27" t="str">
        <f t="shared" si="26"/>
        <v>Everyone else</v>
      </c>
      <c r="P283" s="27" t="str">
        <f t="shared" si="27"/>
        <v>Everyone else</v>
      </c>
      <c r="Q283" s="27" t="str">
        <f t="shared" si="28"/>
        <v>Pay and benefits Negative</v>
      </c>
      <c r="R283" s="27" t="str">
        <f t="shared" si="29"/>
        <v>Everyone else</v>
      </c>
    </row>
    <row r="284" spans="1:18" ht="23.25" customHeight="1" x14ac:dyDescent="0.25">
      <c r="A284" s="25" t="s">
        <v>489</v>
      </c>
      <c r="B284" s="26" t="s">
        <v>91</v>
      </c>
      <c r="C284" s="25" t="s">
        <v>85</v>
      </c>
      <c r="D284" s="25">
        <v>4</v>
      </c>
      <c r="E284" s="25">
        <v>4</v>
      </c>
      <c r="F284" s="25">
        <v>3</v>
      </c>
      <c r="G284" s="25">
        <v>3</v>
      </c>
      <c r="H284" s="25">
        <v>4</v>
      </c>
      <c r="I284" s="25">
        <v>6</v>
      </c>
      <c r="J284" s="26" t="s">
        <v>490</v>
      </c>
      <c r="K284" s="26" t="s">
        <v>518</v>
      </c>
      <c r="L284" s="25" t="s">
        <v>515</v>
      </c>
      <c r="M284" s="27" t="str">
        <f t="shared" si="24"/>
        <v>Everyone else</v>
      </c>
      <c r="N284" s="27" t="str">
        <f t="shared" si="25"/>
        <v>Everyone else</v>
      </c>
      <c r="O284" s="27" t="str">
        <f t="shared" si="26"/>
        <v>Everyone else</v>
      </c>
      <c r="P284" s="27" t="str">
        <f t="shared" si="27"/>
        <v>Everyone else</v>
      </c>
      <c r="Q284" s="27" t="str">
        <f t="shared" si="28"/>
        <v>Everyone else</v>
      </c>
      <c r="R284" s="27" t="str">
        <f t="shared" si="29"/>
        <v>Everyone else</v>
      </c>
    </row>
    <row r="285" spans="1:18" ht="34.5" customHeight="1" x14ac:dyDescent="0.25">
      <c r="A285" s="25" t="s">
        <v>491</v>
      </c>
      <c r="B285" s="26" t="s">
        <v>108</v>
      </c>
      <c r="C285" s="25" t="s">
        <v>88</v>
      </c>
      <c r="D285" s="25">
        <v>4</v>
      </c>
      <c r="E285" s="25">
        <v>4</v>
      </c>
      <c r="F285" s="25">
        <v>3</v>
      </c>
      <c r="G285" s="25">
        <v>4</v>
      </c>
      <c r="H285" s="25">
        <v>3</v>
      </c>
      <c r="I285" s="25">
        <v>2</v>
      </c>
      <c r="J285" s="26" t="s">
        <v>492</v>
      </c>
      <c r="K285" s="26" t="s">
        <v>517</v>
      </c>
      <c r="L285" s="25" t="s">
        <v>519</v>
      </c>
      <c r="M285" s="27" t="str">
        <f t="shared" si="24"/>
        <v>Manager support Negative</v>
      </c>
      <c r="N285" s="27" t="str">
        <f t="shared" si="25"/>
        <v>Flexibility Negative</v>
      </c>
      <c r="O285" s="27" t="str">
        <f t="shared" si="26"/>
        <v>Everyone else</v>
      </c>
      <c r="P285" s="27" t="str">
        <f t="shared" si="27"/>
        <v>Everyone else</v>
      </c>
      <c r="Q285" s="27" t="str">
        <f t="shared" si="28"/>
        <v>Everyone else</v>
      </c>
      <c r="R285" s="27" t="str">
        <f t="shared" si="29"/>
        <v>Everyone else</v>
      </c>
    </row>
    <row r="286" spans="1:18" ht="15" customHeight="1" x14ac:dyDescent="0.25">
      <c r="A286" s="25" t="s">
        <v>493</v>
      </c>
      <c r="B286" s="26" t="s">
        <v>118</v>
      </c>
      <c r="C286" s="25" t="s">
        <v>88</v>
      </c>
      <c r="D286" s="25">
        <v>2</v>
      </c>
      <c r="E286" s="25">
        <v>3</v>
      </c>
      <c r="F286" s="25">
        <v>3</v>
      </c>
      <c r="G286" s="25">
        <v>5</v>
      </c>
      <c r="H286" s="25">
        <v>3</v>
      </c>
      <c r="I286" s="25">
        <v>5</v>
      </c>
      <c r="J286" s="26" t="s">
        <v>494</v>
      </c>
      <c r="K286" s="26" t="s">
        <v>548</v>
      </c>
      <c r="L286" s="25" t="s">
        <v>515</v>
      </c>
      <c r="M286" s="27" t="str">
        <f t="shared" si="24"/>
        <v>Everyone else</v>
      </c>
      <c r="N286" s="27" t="str">
        <f t="shared" si="25"/>
        <v>Everyone else</v>
      </c>
      <c r="O286" s="27" t="str">
        <f t="shared" si="26"/>
        <v>Everyone else</v>
      </c>
      <c r="P286" s="27" t="str">
        <f t="shared" si="27"/>
        <v>Everyone else</v>
      </c>
      <c r="Q286" s="27" t="str">
        <f t="shared" si="28"/>
        <v>Everyone else</v>
      </c>
      <c r="R286" s="27" t="str">
        <f t="shared" si="29"/>
        <v>Everyone else</v>
      </c>
    </row>
    <row r="287" spans="1:18" ht="15" customHeight="1" x14ac:dyDescent="0.25">
      <c r="A287" s="25" t="s">
        <v>495</v>
      </c>
      <c r="B287" s="26" t="s">
        <v>118</v>
      </c>
      <c r="C287" s="25" t="s">
        <v>85</v>
      </c>
      <c r="D287" s="25">
        <v>4</v>
      </c>
      <c r="E287" s="25">
        <v>3</v>
      </c>
      <c r="F287" s="25">
        <v>4</v>
      </c>
      <c r="G287" s="25">
        <v>5</v>
      </c>
      <c r="H287" s="25">
        <v>4</v>
      </c>
      <c r="I287" s="25">
        <v>8</v>
      </c>
      <c r="J287" s="26" t="s">
        <v>86</v>
      </c>
      <c r="K287" s="26" t="s">
        <v>520</v>
      </c>
      <c r="L287" s="25" t="s">
        <v>515</v>
      </c>
      <c r="M287" s="27" t="str">
        <f t="shared" si="24"/>
        <v>Everyone else</v>
      </c>
      <c r="N287" s="27" t="str">
        <f t="shared" si="25"/>
        <v>Everyone else</v>
      </c>
      <c r="O287" s="27" t="str">
        <f t="shared" si="26"/>
        <v>Everyone else</v>
      </c>
      <c r="P287" s="27" t="str">
        <f t="shared" si="27"/>
        <v>Everyone else</v>
      </c>
      <c r="Q287" s="27" t="str">
        <f t="shared" si="28"/>
        <v>Everyone else</v>
      </c>
      <c r="R287" s="27" t="str">
        <f t="shared" si="29"/>
        <v>Everyone else</v>
      </c>
    </row>
    <row r="288" spans="1:18" ht="15" customHeight="1" x14ac:dyDescent="0.25">
      <c r="A288" s="25" t="s">
        <v>496</v>
      </c>
      <c r="B288" s="26" t="s">
        <v>108</v>
      </c>
      <c r="C288" s="25" t="s">
        <v>85</v>
      </c>
      <c r="D288" s="25">
        <v>4</v>
      </c>
      <c r="E288" s="25">
        <v>4</v>
      </c>
      <c r="F288" s="25">
        <v>4</v>
      </c>
      <c r="G288" s="25">
        <v>3</v>
      </c>
      <c r="H288" s="25">
        <v>4</v>
      </c>
      <c r="I288" s="25">
        <v>7</v>
      </c>
      <c r="J288" s="26" t="s">
        <v>121</v>
      </c>
      <c r="K288" s="26" t="s">
        <v>525</v>
      </c>
      <c r="L288" s="25" t="s">
        <v>515</v>
      </c>
      <c r="M288" s="27" t="str">
        <f t="shared" si="24"/>
        <v>Everyone else</v>
      </c>
      <c r="N288" s="27" t="str">
        <f t="shared" si="25"/>
        <v>Everyone else</v>
      </c>
      <c r="O288" s="27" t="str">
        <f t="shared" si="26"/>
        <v>Everyone else</v>
      </c>
      <c r="P288" s="27" t="str">
        <f t="shared" si="27"/>
        <v>Everyone else</v>
      </c>
      <c r="Q288" s="27" t="str">
        <f t="shared" si="28"/>
        <v>Everyone else</v>
      </c>
      <c r="R288" s="27" t="str">
        <f t="shared" si="29"/>
        <v>Everyone else</v>
      </c>
    </row>
    <row r="289" spans="1:18" ht="23.25" customHeight="1" x14ac:dyDescent="0.25">
      <c r="A289" s="25" t="s">
        <v>497</v>
      </c>
      <c r="B289" s="26" t="s">
        <v>77</v>
      </c>
      <c r="C289" s="25" t="s">
        <v>88</v>
      </c>
      <c r="D289" s="25">
        <v>4</v>
      </c>
      <c r="E289" s="25">
        <v>4</v>
      </c>
      <c r="F289" s="25">
        <v>3</v>
      </c>
      <c r="G289" s="25">
        <v>5</v>
      </c>
      <c r="H289" s="25">
        <v>2</v>
      </c>
      <c r="I289" s="25">
        <v>8</v>
      </c>
      <c r="J289" s="26" t="s">
        <v>261</v>
      </c>
      <c r="K289" s="26" t="s">
        <v>521</v>
      </c>
      <c r="L289" s="25" t="s">
        <v>515</v>
      </c>
      <c r="M289" s="27" t="str">
        <f t="shared" si="24"/>
        <v>Everyone else</v>
      </c>
      <c r="N289" s="27" t="str">
        <f t="shared" si="25"/>
        <v>Everyone else</v>
      </c>
      <c r="O289" s="27" t="str">
        <f t="shared" si="26"/>
        <v>Everyone else</v>
      </c>
      <c r="P289" s="27" t="str">
        <f t="shared" si="27"/>
        <v>Everyone else</v>
      </c>
      <c r="Q289" s="27" t="str">
        <f t="shared" si="28"/>
        <v>Everyone else</v>
      </c>
      <c r="R289" s="27" t="str">
        <f t="shared" si="29"/>
        <v>Everyone else</v>
      </c>
    </row>
    <row r="290" spans="1:18" ht="23.25" customHeight="1" x14ac:dyDescent="0.25">
      <c r="A290" s="25" t="s">
        <v>498</v>
      </c>
      <c r="B290" s="26" t="s">
        <v>91</v>
      </c>
      <c r="C290" s="25" t="s">
        <v>74</v>
      </c>
      <c r="D290" s="25">
        <v>3</v>
      </c>
      <c r="E290" s="25">
        <v>2</v>
      </c>
      <c r="F290" s="25">
        <v>3</v>
      </c>
      <c r="G290" s="25">
        <v>2</v>
      </c>
      <c r="H290" s="25">
        <v>4</v>
      </c>
      <c r="I290" s="25">
        <v>3</v>
      </c>
      <c r="J290" s="26" t="s">
        <v>101</v>
      </c>
      <c r="K290" s="26" t="s">
        <v>516</v>
      </c>
      <c r="L290" s="25" t="s">
        <v>519</v>
      </c>
      <c r="M290" s="27" t="str">
        <f t="shared" si="24"/>
        <v>Everyone else</v>
      </c>
      <c r="N290" s="27" t="str">
        <f t="shared" si="25"/>
        <v>Flexibility Negative</v>
      </c>
      <c r="O290" s="27" t="str">
        <f t="shared" si="26"/>
        <v>Everyone else</v>
      </c>
      <c r="P290" s="27" t="str">
        <f t="shared" si="27"/>
        <v>Everyone else</v>
      </c>
      <c r="Q290" s="27" t="str">
        <f t="shared" si="28"/>
        <v>Everyone else</v>
      </c>
      <c r="R290" s="27" t="str">
        <f t="shared" si="29"/>
        <v>Everyone else</v>
      </c>
    </row>
    <row r="291" spans="1:18" ht="34.5" customHeight="1" x14ac:dyDescent="0.25">
      <c r="A291" s="25" t="s">
        <v>499</v>
      </c>
      <c r="B291" s="26" t="s">
        <v>82</v>
      </c>
      <c r="C291" s="25" t="s">
        <v>85</v>
      </c>
      <c r="D291" s="25">
        <v>2</v>
      </c>
      <c r="E291" s="25">
        <v>2</v>
      </c>
      <c r="F291" s="25">
        <v>3</v>
      </c>
      <c r="G291" s="25">
        <v>2</v>
      </c>
      <c r="H291" s="25">
        <v>2</v>
      </c>
      <c r="I291" s="25">
        <v>8</v>
      </c>
      <c r="J291" s="26" t="s">
        <v>500</v>
      </c>
      <c r="K291" s="26" t="s">
        <v>534</v>
      </c>
      <c r="L291" s="25" t="s">
        <v>519</v>
      </c>
      <c r="M291" s="27" t="str">
        <f t="shared" si="24"/>
        <v>Everyone else</v>
      </c>
      <c r="N291" s="27" t="str">
        <f t="shared" si="25"/>
        <v>Flexibility Negative</v>
      </c>
      <c r="O291" s="27" t="str">
        <f t="shared" si="26"/>
        <v>Everyone else</v>
      </c>
      <c r="P291" s="27" t="str">
        <f t="shared" si="27"/>
        <v>Everyone else</v>
      </c>
      <c r="Q291" s="27" t="str">
        <f t="shared" si="28"/>
        <v>Pay and benefits Negative</v>
      </c>
      <c r="R291" s="27" t="str">
        <f t="shared" si="29"/>
        <v>Everyone else</v>
      </c>
    </row>
    <row r="292" spans="1:18" ht="23.25" customHeight="1" x14ac:dyDescent="0.25">
      <c r="A292" s="25" t="s">
        <v>501</v>
      </c>
      <c r="B292" s="26" t="s">
        <v>77</v>
      </c>
      <c r="C292" s="25" t="s">
        <v>74</v>
      </c>
      <c r="D292" s="25">
        <v>3</v>
      </c>
      <c r="E292" s="25">
        <v>2</v>
      </c>
      <c r="F292" s="25">
        <v>2</v>
      </c>
      <c r="G292" s="25">
        <v>3</v>
      </c>
      <c r="H292" s="25">
        <v>4</v>
      </c>
      <c r="I292" s="25">
        <v>3</v>
      </c>
      <c r="J292" s="26" t="s">
        <v>101</v>
      </c>
      <c r="K292" s="26" t="s">
        <v>516</v>
      </c>
      <c r="L292" s="25" t="s">
        <v>519</v>
      </c>
      <c r="M292" s="27" t="str">
        <f t="shared" si="24"/>
        <v>Everyone else</v>
      </c>
      <c r="N292" s="27" t="str">
        <f t="shared" si="25"/>
        <v>Flexibility Negative</v>
      </c>
      <c r="O292" s="27" t="str">
        <f t="shared" si="26"/>
        <v>Everyone else</v>
      </c>
      <c r="P292" s="27" t="str">
        <f t="shared" si="27"/>
        <v>Everyone else</v>
      </c>
      <c r="Q292" s="27" t="str">
        <f t="shared" si="28"/>
        <v>Everyone else</v>
      </c>
      <c r="R292" s="27" t="str">
        <f t="shared" si="29"/>
        <v>Everyone else</v>
      </c>
    </row>
    <row r="293" spans="1:18" ht="23.25" customHeight="1" x14ac:dyDescent="0.25">
      <c r="A293" s="25" t="s">
        <v>502</v>
      </c>
      <c r="B293" s="26" t="s">
        <v>108</v>
      </c>
      <c r="C293" s="25" t="s">
        <v>88</v>
      </c>
      <c r="D293" s="25">
        <v>4</v>
      </c>
      <c r="E293" s="25">
        <v>2</v>
      </c>
      <c r="F293" s="25">
        <v>4</v>
      </c>
      <c r="G293" s="25">
        <v>4</v>
      </c>
      <c r="H293" s="25">
        <v>3</v>
      </c>
      <c r="I293" s="25">
        <v>10</v>
      </c>
      <c r="J293" s="26" t="s">
        <v>490</v>
      </c>
      <c r="K293" s="26" t="s">
        <v>518</v>
      </c>
      <c r="L293" s="25" t="s">
        <v>515</v>
      </c>
      <c r="M293" s="27" t="str">
        <f t="shared" si="24"/>
        <v>Everyone else</v>
      </c>
      <c r="N293" s="27" t="str">
        <f t="shared" si="25"/>
        <v>Everyone else</v>
      </c>
      <c r="O293" s="27" t="str">
        <f t="shared" si="26"/>
        <v>Everyone else</v>
      </c>
      <c r="P293" s="27" t="str">
        <f t="shared" si="27"/>
        <v>Everyone else</v>
      </c>
      <c r="Q293" s="27" t="str">
        <f t="shared" si="28"/>
        <v>Everyone else</v>
      </c>
      <c r="R293" s="27" t="str">
        <f t="shared" si="29"/>
        <v>Everyone else</v>
      </c>
    </row>
    <row r="294" spans="1:18" ht="15" customHeight="1" x14ac:dyDescent="0.25">
      <c r="A294" s="25" t="s">
        <v>503</v>
      </c>
      <c r="B294" s="26" t="s">
        <v>108</v>
      </c>
      <c r="C294" s="25" t="s">
        <v>85</v>
      </c>
      <c r="D294" s="25">
        <v>4</v>
      </c>
      <c r="E294" s="25">
        <v>4</v>
      </c>
      <c r="F294" s="25">
        <v>2</v>
      </c>
      <c r="G294" s="25">
        <v>2</v>
      </c>
      <c r="H294" s="25">
        <v>5</v>
      </c>
      <c r="I294" s="25">
        <v>6</v>
      </c>
      <c r="J294" s="26" t="s">
        <v>261</v>
      </c>
      <c r="K294" s="26" t="s">
        <v>521</v>
      </c>
      <c r="L294" s="25" t="s">
        <v>515</v>
      </c>
      <c r="M294" s="27" t="str">
        <f t="shared" si="24"/>
        <v>Everyone else</v>
      </c>
      <c r="N294" s="27" t="str">
        <f t="shared" si="25"/>
        <v>Everyone else</v>
      </c>
      <c r="O294" s="27" t="str">
        <f t="shared" si="26"/>
        <v>Everyone else</v>
      </c>
      <c r="P294" s="27" t="str">
        <f t="shared" si="27"/>
        <v>Everyone else</v>
      </c>
      <c r="Q294" s="27" t="str">
        <f t="shared" si="28"/>
        <v>Everyone else</v>
      </c>
      <c r="R294" s="27" t="str">
        <f t="shared" si="29"/>
        <v>Everyone else</v>
      </c>
    </row>
    <row r="295" spans="1:18" ht="15" customHeight="1" x14ac:dyDescent="0.25">
      <c r="A295" s="25" t="s">
        <v>504</v>
      </c>
      <c r="B295" s="26" t="s">
        <v>118</v>
      </c>
      <c r="C295" s="25" t="s">
        <v>85</v>
      </c>
      <c r="D295" s="25">
        <v>5</v>
      </c>
      <c r="E295" s="25">
        <v>3</v>
      </c>
      <c r="F295" s="25">
        <v>4</v>
      </c>
      <c r="G295" s="25">
        <v>4</v>
      </c>
      <c r="H295" s="25">
        <v>5</v>
      </c>
      <c r="I295" s="25">
        <v>7</v>
      </c>
      <c r="J295" s="26" t="s">
        <v>192</v>
      </c>
      <c r="K295" s="26" t="s">
        <v>514</v>
      </c>
      <c r="L295" s="25" t="s">
        <v>515</v>
      </c>
      <c r="M295" s="27" t="str">
        <f t="shared" si="24"/>
        <v>Everyone else</v>
      </c>
      <c r="N295" s="27" t="str">
        <f t="shared" si="25"/>
        <v>Everyone else</v>
      </c>
      <c r="O295" s="27" t="str">
        <f t="shared" si="26"/>
        <v>Everyone else</v>
      </c>
      <c r="P295" s="27" t="str">
        <f t="shared" si="27"/>
        <v>Everyone else</v>
      </c>
      <c r="Q295" s="27" t="str">
        <f t="shared" si="28"/>
        <v>Everyone else</v>
      </c>
      <c r="R295" s="27" t="str">
        <f t="shared" si="29"/>
        <v>Everyone else</v>
      </c>
    </row>
    <row r="296" spans="1:18" ht="15" customHeight="1" x14ac:dyDescent="0.25">
      <c r="A296" s="25" t="s">
        <v>505</v>
      </c>
      <c r="B296" s="26" t="s">
        <v>108</v>
      </c>
      <c r="C296" s="25" t="s">
        <v>85</v>
      </c>
      <c r="D296" s="25">
        <v>5</v>
      </c>
      <c r="E296" s="25">
        <v>4</v>
      </c>
      <c r="F296" s="25">
        <v>5</v>
      </c>
      <c r="G296" s="25">
        <v>3</v>
      </c>
      <c r="H296" s="25">
        <v>3</v>
      </c>
      <c r="I296" s="25">
        <v>7</v>
      </c>
      <c r="J296" s="26" t="s">
        <v>181</v>
      </c>
      <c r="K296" s="26" t="s">
        <v>528</v>
      </c>
      <c r="L296" s="25" t="s">
        <v>515</v>
      </c>
      <c r="M296" s="27" t="str">
        <f t="shared" si="24"/>
        <v>Everyone else</v>
      </c>
      <c r="N296" s="27" t="str">
        <f t="shared" si="25"/>
        <v>Everyone else</v>
      </c>
      <c r="O296" s="27" t="str">
        <f t="shared" si="26"/>
        <v>Everyone else</v>
      </c>
      <c r="P296" s="27" t="str">
        <f t="shared" si="27"/>
        <v>Everyone else</v>
      </c>
      <c r="Q296" s="27" t="str">
        <f t="shared" si="28"/>
        <v>Everyone else</v>
      </c>
      <c r="R296" s="27" t="str">
        <f t="shared" si="29"/>
        <v>Everyone else</v>
      </c>
    </row>
    <row r="297" spans="1:18" ht="15" customHeight="1" x14ac:dyDescent="0.25">
      <c r="A297" s="25" t="s">
        <v>506</v>
      </c>
      <c r="B297" s="26" t="s">
        <v>73</v>
      </c>
      <c r="C297" s="25" t="s">
        <v>94</v>
      </c>
      <c r="D297" s="25">
        <v>5</v>
      </c>
      <c r="E297" s="25">
        <v>4</v>
      </c>
      <c r="F297" s="25">
        <v>4</v>
      </c>
      <c r="G297" s="25">
        <v>4</v>
      </c>
      <c r="H297" s="25">
        <v>5</v>
      </c>
      <c r="I297" s="25">
        <v>9</v>
      </c>
      <c r="J297" s="26" t="s">
        <v>86</v>
      </c>
      <c r="K297" s="26" t="s">
        <v>520</v>
      </c>
      <c r="L297" s="25" t="s">
        <v>515</v>
      </c>
      <c r="M297" s="27" t="str">
        <f t="shared" si="24"/>
        <v>Everyone else</v>
      </c>
      <c r="N297" s="27" t="str">
        <f t="shared" si="25"/>
        <v>Everyone else</v>
      </c>
      <c r="O297" s="27" t="str">
        <f t="shared" si="26"/>
        <v>Everyone else</v>
      </c>
      <c r="P297" s="27" t="str">
        <f t="shared" si="27"/>
        <v>Everyone else</v>
      </c>
      <c r="Q297" s="27" t="str">
        <f t="shared" si="28"/>
        <v>Everyone else</v>
      </c>
      <c r="R297" s="27" t="str">
        <f t="shared" si="29"/>
        <v>Everyone else</v>
      </c>
    </row>
    <row r="298" spans="1:18" ht="34.5" customHeight="1" x14ac:dyDescent="0.25">
      <c r="A298" s="25" t="s">
        <v>507</v>
      </c>
      <c r="B298" s="26" t="s">
        <v>73</v>
      </c>
      <c r="C298" s="25" t="s">
        <v>85</v>
      </c>
      <c r="D298" s="25">
        <v>2</v>
      </c>
      <c r="E298" s="25">
        <v>3</v>
      </c>
      <c r="F298" s="25">
        <v>4</v>
      </c>
      <c r="G298" s="25">
        <v>3</v>
      </c>
      <c r="H298" s="25">
        <v>3</v>
      </c>
      <c r="I298" s="25">
        <v>9</v>
      </c>
      <c r="J298" s="26" t="s">
        <v>207</v>
      </c>
      <c r="K298" s="26" t="s">
        <v>544</v>
      </c>
      <c r="L298" s="25" t="s">
        <v>519</v>
      </c>
      <c r="M298" s="27" t="str">
        <f t="shared" si="24"/>
        <v>Manager support Negative</v>
      </c>
      <c r="N298" s="27" t="str">
        <f t="shared" si="25"/>
        <v>Flexibility Negative</v>
      </c>
      <c r="O298" s="27" t="str">
        <f t="shared" si="26"/>
        <v>Everyone else</v>
      </c>
      <c r="P298" s="27" t="str">
        <f t="shared" si="27"/>
        <v>Everyone else</v>
      </c>
      <c r="Q298" s="27" t="str">
        <f t="shared" si="28"/>
        <v>Everyone else</v>
      </c>
      <c r="R298" s="27" t="str">
        <f t="shared" si="29"/>
        <v>Everyone else</v>
      </c>
    </row>
    <row r="299" spans="1:18" ht="23.25" customHeight="1" x14ac:dyDescent="0.25">
      <c r="A299" s="25" t="s">
        <v>508</v>
      </c>
      <c r="B299" s="26" t="s">
        <v>77</v>
      </c>
      <c r="C299" s="25" t="s">
        <v>94</v>
      </c>
      <c r="D299" s="25">
        <v>4</v>
      </c>
      <c r="E299" s="25">
        <v>3</v>
      </c>
      <c r="F299" s="25">
        <v>3</v>
      </c>
      <c r="G299" s="25">
        <v>3</v>
      </c>
      <c r="H299" s="25">
        <v>4</v>
      </c>
      <c r="I299" s="25">
        <v>9</v>
      </c>
      <c r="J299" s="26" t="s">
        <v>121</v>
      </c>
      <c r="K299" s="26" t="s">
        <v>525</v>
      </c>
      <c r="L299" s="25" t="s">
        <v>515</v>
      </c>
      <c r="M299" s="27" t="str">
        <f t="shared" si="24"/>
        <v>Everyone else</v>
      </c>
      <c r="N299" s="27" t="str">
        <f t="shared" si="25"/>
        <v>Everyone else</v>
      </c>
      <c r="O299" s="27" t="str">
        <f t="shared" si="26"/>
        <v>Everyone else</v>
      </c>
      <c r="P299" s="27" t="str">
        <f t="shared" si="27"/>
        <v>Everyone else</v>
      </c>
      <c r="Q299" s="27" t="str">
        <f t="shared" si="28"/>
        <v>Everyone else</v>
      </c>
      <c r="R299" s="27" t="str">
        <f t="shared" si="29"/>
        <v>Everyone else</v>
      </c>
    </row>
    <row r="300" spans="1:18" ht="34.5" customHeight="1" x14ac:dyDescent="0.25">
      <c r="A300" s="25" t="s">
        <v>509</v>
      </c>
      <c r="B300" s="26" t="s">
        <v>77</v>
      </c>
      <c r="C300" s="25" t="s">
        <v>94</v>
      </c>
      <c r="D300" s="25">
        <v>2</v>
      </c>
      <c r="E300" s="25">
        <v>3</v>
      </c>
      <c r="F300" s="25">
        <v>2</v>
      </c>
      <c r="G300" s="25">
        <v>4</v>
      </c>
      <c r="H300" s="25">
        <v>3</v>
      </c>
      <c r="I300" s="25">
        <v>7</v>
      </c>
      <c r="J300" s="26" t="s">
        <v>510</v>
      </c>
      <c r="K300" s="26" t="s">
        <v>530</v>
      </c>
      <c r="L300" s="25" t="s">
        <v>519</v>
      </c>
      <c r="M300" s="27" t="str">
        <f t="shared" si="24"/>
        <v>Manager support Negative</v>
      </c>
      <c r="N300" s="27" t="str">
        <f t="shared" si="25"/>
        <v>Everyone else</v>
      </c>
      <c r="O300" s="27" t="str">
        <f t="shared" si="26"/>
        <v>Everyone else</v>
      </c>
      <c r="P300" s="27" t="str">
        <f t="shared" si="27"/>
        <v>Tools and systems Negative</v>
      </c>
      <c r="Q300" s="27" t="str">
        <f t="shared" si="28"/>
        <v>Everyone else</v>
      </c>
      <c r="R300" s="27" t="str">
        <f t="shared" si="29"/>
        <v>Everyone else</v>
      </c>
    </row>
    <row r="301" spans="1:18" ht="23.25" customHeight="1" x14ac:dyDescent="0.25">
      <c r="A301" s="25" t="s">
        <v>511</v>
      </c>
      <c r="B301" s="26" t="s">
        <v>73</v>
      </c>
      <c r="C301" s="25" t="s">
        <v>85</v>
      </c>
      <c r="D301" s="25">
        <v>4</v>
      </c>
      <c r="E301" s="25">
        <v>4</v>
      </c>
      <c r="F301" s="25">
        <v>4</v>
      </c>
      <c r="G301" s="25">
        <v>4</v>
      </c>
      <c r="H301" s="25">
        <v>3</v>
      </c>
      <c r="I301" s="25">
        <v>6</v>
      </c>
      <c r="J301" s="26" t="s">
        <v>263</v>
      </c>
      <c r="K301" s="26" t="s">
        <v>538</v>
      </c>
      <c r="L301" s="25" t="s">
        <v>515</v>
      </c>
      <c r="M301" s="27" t="str">
        <f t="shared" si="24"/>
        <v>Everyone else</v>
      </c>
      <c r="N301" s="27" t="str">
        <f t="shared" si="25"/>
        <v>Everyone else</v>
      </c>
      <c r="O301" s="27" t="str">
        <f t="shared" si="26"/>
        <v>Everyone else</v>
      </c>
      <c r="P301" s="27" t="str">
        <f t="shared" si="27"/>
        <v>Everyone else</v>
      </c>
      <c r="Q301" s="27" t="str">
        <f t="shared" si="28"/>
        <v>Everyone else</v>
      </c>
      <c r="R301" s="27" t="str">
        <f t="shared" si="29"/>
        <v>Everyone else</v>
      </c>
    </row>
  </sheetData>
  <autoFilter ref="A1:L301"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zoomScaleNormal="100" workbookViewId="0"/>
  </sheetViews>
  <sheetFormatPr defaultColWidth="8.6640625" defaultRowHeight="13.2" x14ac:dyDescent="0.25"/>
  <cols>
    <col min="1" max="1" width="20" customWidth="1"/>
    <col min="2" max="4" width="16" customWidth="1"/>
    <col min="5" max="6" width="18" customWidth="1"/>
    <col min="7" max="7" width="16" customWidth="1"/>
    <col min="8" max="8" width="12" customWidth="1"/>
  </cols>
  <sheetData>
    <row r="1" spans="1:8" ht="30" customHeight="1" x14ac:dyDescent="0.25">
      <c r="A1" s="20" t="s">
        <v>6</v>
      </c>
      <c r="B1" s="20" t="s">
        <v>515</v>
      </c>
      <c r="C1" s="20" t="s">
        <v>519</v>
      </c>
      <c r="D1" s="20" t="s">
        <v>61</v>
      </c>
    </row>
    <row r="2" spans="1:8" ht="15" customHeight="1" x14ac:dyDescent="0.25">
      <c r="A2" s="28" t="s">
        <v>514</v>
      </c>
      <c r="B2" s="29">
        <f>COUNTIFS('Coded Responses'!$K$2:$K$301,"*"&amp;$A2&amp;"*",'Coded Responses'!$L$2:$L$301,B$1)</f>
        <v>38</v>
      </c>
      <c r="C2" s="29">
        <f>COUNTIFS('Coded Responses'!$K$2:$K$301,"*"&amp;$A2&amp;"*",'Coded Responses'!$L$2:$L$301,C$1)</f>
        <v>45</v>
      </c>
      <c r="D2" s="29">
        <f t="shared" ref="D2:D7" si="0">SUM(B2:C2)</f>
        <v>83</v>
      </c>
    </row>
    <row r="3" spans="1:8" ht="15" customHeight="1" x14ac:dyDescent="0.25">
      <c r="A3" s="28" t="s">
        <v>516</v>
      </c>
      <c r="B3" s="29">
        <f>COUNTIFS('Coded Responses'!$K$2:$K$301,"*"&amp;$A3&amp;"*",'Coded Responses'!$L$2:$L$301,B$1)</f>
        <v>31</v>
      </c>
      <c r="C3" s="29">
        <f>COUNTIFS('Coded Responses'!$K$2:$K$301,"*"&amp;$A3&amp;"*",'Coded Responses'!$L$2:$L$301,C$1)</f>
        <v>49</v>
      </c>
      <c r="D3" s="29">
        <f t="shared" si="0"/>
        <v>80</v>
      </c>
    </row>
    <row r="4" spans="1:8" ht="15" customHeight="1" x14ac:dyDescent="0.25">
      <c r="A4" s="28" t="s">
        <v>521</v>
      </c>
      <c r="B4" s="29">
        <f>COUNTIFS('Coded Responses'!$K$2:$K$301,"*"&amp;$A4&amp;"*",'Coded Responses'!$L$2:$L$301,B$1)</f>
        <v>38</v>
      </c>
      <c r="C4" s="29">
        <f>COUNTIFS('Coded Responses'!$K$2:$K$301,"*"&amp;$A4&amp;"*",'Coded Responses'!$L$2:$L$301,C$1)</f>
        <v>40</v>
      </c>
      <c r="D4" s="29">
        <f t="shared" si="0"/>
        <v>78</v>
      </c>
    </row>
    <row r="5" spans="1:8" ht="15" customHeight="1" x14ac:dyDescent="0.25">
      <c r="A5" s="28" t="s">
        <v>528</v>
      </c>
      <c r="B5" s="29">
        <f>COUNTIFS('Coded Responses'!$K$2:$K$301,"*"&amp;$A5&amp;"*",'Coded Responses'!$L$2:$L$301,B$1)</f>
        <v>31</v>
      </c>
      <c r="C5" s="29">
        <f>COUNTIFS('Coded Responses'!$K$2:$K$301,"*"&amp;$A5&amp;"*",'Coded Responses'!$L$2:$L$301,C$1)</f>
        <v>41</v>
      </c>
      <c r="D5" s="29">
        <f t="shared" si="0"/>
        <v>72</v>
      </c>
    </row>
    <row r="6" spans="1:8" ht="15" customHeight="1" x14ac:dyDescent="0.25">
      <c r="A6" s="28" t="s">
        <v>525</v>
      </c>
      <c r="B6" s="29">
        <f>COUNTIFS('Coded Responses'!$K$2:$K$301,"*"&amp;$A6&amp;"*",'Coded Responses'!$L$2:$L$301,B$1)</f>
        <v>34</v>
      </c>
      <c r="C6" s="29">
        <f>COUNTIFS('Coded Responses'!$K$2:$K$301,"*"&amp;$A6&amp;"*",'Coded Responses'!$L$2:$L$301,C$1)</f>
        <v>38</v>
      </c>
      <c r="D6" s="29">
        <f t="shared" si="0"/>
        <v>72</v>
      </c>
    </row>
    <row r="7" spans="1:8" ht="15" customHeight="1" x14ac:dyDescent="0.25">
      <c r="A7" s="28" t="s">
        <v>520</v>
      </c>
      <c r="B7" s="29">
        <f>COUNTIFS('Coded Responses'!$K$2:$K$301,"*"&amp;$A7&amp;"*",'Coded Responses'!$L$2:$L$301,B$1)</f>
        <v>31</v>
      </c>
      <c r="C7" s="29">
        <f>COUNTIFS('Coded Responses'!$K$2:$K$301,"*"&amp;$A7&amp;"*",'Coded Responses'!$L$2:$L$301,C$1)</f>
        <v>35</v>
      </c>
      <c r="D7" s="29">
        <f t="shared" si="0"/>
        <v>66</v>
      </c>
    </row>
    <row r="8" spans="1:8" ht="15" customHeight="1" x14ac:dyDescent="0.25">
      <c r="A8" s="21" t="s">
        <v>61</v>
      </c>
      <c r="B8" s="30">
        <f>SUM(B2:B7)</f>
        <v>203</v>
      </c>
      <c r="C8" s="30">
        <f>SUM(C2:C7)</f>
        <v>248</v>
      </c>
      <c r="D8" s="30">
        <f>SUM(D2:D7)</f>
        <v>451</v>
      </c>
    </row>
    <row r="9" spans="1:8" x14ac:dyDescent="0.25">
      <c r="A9" s="31" t="s">
        <v>697</v>
      </c>
    </row>
    <row r="11" spans="1:8" ht="19.5" customHeight="1" x14ac:dyDescent="0.25">
      <c r="A11" s="23" t="s">
        <v>698</v>
      </c>
    </row>
    <row r="12" spans="1:8" ht="31.5" customHeight="1" x14ac:dyDescent="0.25">
      <c r="A12" s="20" t="s">
        <v>699</v>
      </c>
      <c r="B12" s="20" t="s">
        <v>514</v>
      </c>
      <c r="C12" s="20" t="s">
        <v>516</v>
      </c>
      <c r="D12" s="20" t="s">
        <v>521</v>
      </c>
      <c r="E12" s="20" t="s">
        <v>528</v>
      </c>
      <c r="F12" s="20" t="s">
        <v>525</v>
      </c>
      <c r="G12" s="20" t="s">
        <v>520</v>
      </c>
      <c r="H12" s="20" t="s">
        <v>61</v>
      </c>
    </row>
    <row r="13" spans="1:8" ht="15" customHeight="1" x14ac:dyDescent="0.25">
      <c r="A13" s="28" t="s">
        <v>77</v>
      </c>
      <c r="B13" s="29">
        <f>COUNTIFS('Coded Responses'!$B$2:$B$301,$A13,'Coded Responses'!$K$2:$K$301,"*"&amp;B$12&amp;"*")</f>
        <v>13</v>
      </c>
      <c r="C13" s="29">
        <f>COUNTIFS('Coded Responses'!$B$2:$B$301,$A13,'Coded Responses'!$K$2:$K$301,"*"&amp;C$12&amp;"*")</f>
        <v>15</v>
      </c>
      <c r="D13" s="29">
        <f>COUNTIFS('Coded Responses'!$B$2:$B$301,$A13,'Coded Responses'!$K$2:$K$301,"*"&amp;D$12&amp;"*")</f>
        <v>12</v>
      </c>
      <c r="E13" s="29">
        <f>COUNTIFS('Coded Responses'!$B$2:$B$301,$A13,'Coded Responses'!$K$2:$K$301,"*"&amp;E$12&amp;"*")</f>
        <v>10</v>
      </c>
      <c r="F13" s="29">
        <f>COUNTIFS('Coded Responses'!$B$2:$B$301,$A13,'Coded Responses'!$K$2:$K$301,"*"&amp;F$12&amp;"*")</f>
        <v>11</v>
      </c>
      <c r="G13" s="29">
        <f>COUNTIFS('Coded Responses'!$B$2:$B$301,$A13,'Coded Responses'!$K$2:$K$301,"*"&amp;G$12&amp;"*")</f>
        <v>11</v>
      </c>
      <c r="H13" s="29">
        <f t="shared" ref="H13:H18" si="1">SUM(B13:G13)</f>
        <v>72</v>
      </c>
    </row>
    <row r="14" spans="1:8" ht="15" customHeight="1" x14ac:dyDescent="0.25">
      <c r="A14" s="28" t="s">
        <v>91</v>
      </c>
      <c r="B14" s="29">
        <f>COUNTIFS('Coded Responses'!$B$2:$B$301,$A14,'Coded Responses'!$K$2:$K$301,"*"&amp;B$12&amp;"*")</f>
        <v>9</v>
      </c>
      <c r="C14" s="29">
        <f>COUNTIFS('Coded Responses'!$B$2:$B$301,$A14,'Coded Responses'!$K$2:$K$301,"*"&amp;C$12&amp;"*")</f>
        <v>12</v>
      </c>
      <c r="D14" s="29">
        <f>COUNTIFS('Coded Responses'!$B$2:$B$301,$A14,'Coded Responses'!$K$2:$K$301,"*"&amp;D$12&amp;"*")</f>
        <v>17</v>
      </c>
      <c r="E14" s="29">
        <f>COUNTIFS('Coded Responses'!$B$2:$B$301,$A14,'Coded Responses'!$K$2:$K$301,"*"&amp;E$12&amp;"*")</f>
        <v>12</v>
      </c>
      <c r="F14" s="29">
        <f>COUNTIFS('Coded Responses'!$B$2:$B$301,$A14,'Coded Responses'!$K$2:$K$301,"*"&amp;F$12&amp;"*")</f>
        <v>16</v>
      </c>
      <c r="G14" s="29">
        <f>COUNTIFS('Coded Responses'!$B$2:$B$301,$A14,'Coded Responses'!$K$2:$K$301,"*"&amp;G$12&amp;"*")</f>
        <v>12</v>
      </c>
      <c r="H14" s="29">
        <f t="shared" si="1"/>
        <v>78</v>
      </c>
    </row>
    <row r="15" spans="1:8" ht="15" customHeight="1" x14ac:dyDescent="0.25">
      <c r="A15" s="28" t="s">
        <v>108</v>
      </c>
      <c r="B15" s="29">
        <f>COUNTIFS('Coded Responses'!$B$2:$B$301,$A15,'Coded Responses'!$K$2:$K$301,"*"&amp;B$12&amp;"*")</f>
        <v>18</v>
      </c>
      <c r="C15" s="29">
        <f>COUNTIFS('Coded Responses'!$B$2:$B$301,$A15,'Coded Responses'!$K$2:$K$301,"*"&amp;C$12&amp;"*")</f>
        <v>9</v>
      </c>
      <c r="D15" s="29">
        <f>COUNTIFS('Coded Responses'!$B$2:$B$301,$A15,'Coded Responses'!$K$2:$K$301,"*"&amp;D$12&amp;"*")</f>
        <v>11</v>
      </c>
      <c r="E15" s="29">
        <f>COUNTIFS('Coded Responses'!$B$2:$B$301,$A15,'Coded Responses'!$K$2:$K$301,"*"&amp;E$12&amp;"*")</f>
        <v>10</v>
      </c>
      <c r="F15" s="29">
        <f>COUNTIFS('Coded Responses'!$B$2:$B$301,$A15,'Coded Responses'!$K$2:$K$301,"*"&amp;F$12&amp;"*")</f>
        <v>11</v>
      </c>
      <c r="G15" s="29">
        <f>COUNTIFS('Coded Responses'!$B$2:$B$301,$A15,'Coded Responses'!$K$2:$K$301,"*"&amp;G$12&amp;"*")</f>
        <v>12</v>
      </c>
      <c r="H15" s="29">
        <f t="shared" si="1"/>
        <v>71</v>
      </c>
    </row>
    <row r="16" spans="1:8" ht="15" customHeight="1" x14ac:dyDescent="0.25">
      <c r="A16" s="28" t="s">
        <v>82</v>
      </c>
      <c r="B16" s="29">
        <f>COUNTIFS('Coded Responses'!$B$2:$B$301,$A16,'Coded Responses'!$K$2:$K$301,"*"&amp;B$12&amp;"*")</f>
        <v>11</v>
      </c>
      <c r="C16" s="29">
        <f>COUNTIFS('Coded Responses'!$B$2:$B$301,$A16,'Coded Responses'!$K$2:$K$301,"*"&amp;C$12&amp;"*")</f>
        <v>13</v>
      </c>
      <c r="D16" s="29">
        <f>COUNTIFS('Coded Responses'!$B$2:$B$301,$A16,'Coded Responses'!$K$2:$K$301,"*"&amp;D$12&amp;"*")</f>
        <v>11</v>
      </c>
      <c r="E16" s="29">
        <f>COUNTIFS('Coded Responses'!$B$2:$B$301,$A16,'Coded Responses'!$K$2:$K$301,"*"&amp;E$12&amp;"*")</f>
        <v>15</v>
      </c>
      <c r="F16" s="29">
        <f>COUNTIFS('Coded Responses'!$B$2:$B$301,$A16,'Coded Responses'!$K$2:$K$301,"*"&amp;F$12&amp;"*")</f>
        <v>11</v>
      </c>
      <c r="G16" s="29">
        <f>COUNTIFS('Coded Responses'!$B$2:$B$301,$A16,'Coded Responses'!$K$2:$K$301,"*"&amp;G$12&amp;"*")</f>
        <v>10</v>
      </c>
      <c r="H16" s="29">
        <f t="shared" si="1"/>
        <v>71</v>
      </c>
    </row>
    <row r="17" spans="1:8" ht="15" customHeight="1" x14ac:dyDescent="0.25">
      <c r="A17" s="28" t="s">
        <v>118</v>
      </c>
      <c r="B17" s="29">
        <f>COUNTIFS('Coded Responses'!$B$2:$B$301,$A17,'Coded Responses'!$K$2:$K$301,"*"&amp;B$12&amp;"*")</f>
        <v>15</v>
      </c>
      <c r="C17" s="29">
        <f>COUNTIFS('Coded Responses'!$B$2:$B$301,$A17,'Coded Responses'!$K$2:$K$301,"*"&amp;C$12&amp;"*")</f>
        <v>16</v>
      </c>
      <c r="D17" s="29">
        <f>COUNTIFS('Coded Responses'!$B$2:$B$301,$A17,'Coded Responses'!$K$2:$K$301,"*"&amp;D$12&amp;"*")</f>
        <v>13</v>
      </c>
      <c r="E17" s="29">
        <f>COUNTIFS('Coded Responses'!$B$2:$B$301,$A17,'Coded Responses'!$K$2:$K$301,"*"&amp;E$12&amp;"*")</f>
        <v>12</v>
      </c>
      <c r="F17" s="29">
        <f>COUNTIFS('Coded Responses'!$B$2:$B$301,$A17,'Coded Responses'!$K$2:$K$301,"*"&amp;F$12&amp;"*")</f>
        <v>13</v>
      </c>
      <c r="G17" s="29">
        <f>COUNTIFS('Coded Responses'!$B$2:$B$301,$A17,'Coded Responses'!$K$2:$K$301,"*"&amp;G$12&amp;"*")</f>
        <v>12</v>
      </c>
      <c r="H17" s="29">
        <f t="shared" si="1"/>
        <v>81</v>
      </c>
    </row>
    <row r="18" spans="1:8" ht="12.75" customHeight="1" x14ac:dyDescent="0.25">
      <c r="A18" s="28" t="s">
        <v>73</v>
      </c>
      <c r="B18" s="29">
        <f>COUNTIFS('Coded Responses'!$B$2:$B$301,$A18,'Coded Responses'!$K$2:$K$301,"*"&amp;B$12&amp;"*")</f>
        <v>17</v>
      </c>
      <c r="C18" s="29">
        <f>COUNTIFS('Coded Responses'!$B$2:$B$301,$A18,'Coded Responses'!$K$2:$K$301,"*"&amp;C$12&amp;"*")</f>
        <v>15</v>
      </c>
      <c r="D18" s="29">
        <f>COUNTIFS('Coded Responses'!$B$2:$B$301,$A18,'Coded Responses'!$K$2:$K$301,"*"&amp;D$12&amp;"*")</f>
        <v>14</v>
      </c>
      <c r="E18" s="29">
        <f>COUNTIFS('Coded Responses'!$B$2:$B$301,$A18,'Coded Responses'!$K$2:$K$301,"*"&amp;E$12&amp;"*")</f>
        <v>13</v>
      </c>
      <c r="F18" s="29">
        <f>COUNTIFS('Coded Responses'!$B$2:$B$301,$A18,'Coded Responses'!$K$2:$K$301,"*"&amp;F$12&amp;"*")</f>
        <v>10</v>
      </c>
      <c r="G18" s="29">
        <f>COUNTIFS('Coded Responses'!$B$2:$B$301,$A18,'Coded Responses'!$K$2:$K$301,"*"&amp;G$12&amp;"*")</f>
        <v>9</v>
      </c>
      <c r="H18" s="29">
        <f t="shared" si="1"/>
        <v>78</v>
      </c>
    </row>
    <row r="19" spans="1:8" ht="12.75" customHeight="1" x14ac:dyDescent="0.25">
      <c r="A19" s="21" t="s">
        <v>61</v>
      </c>
      <c r="B19" s="30">
        <f t="shared" ref="B19:H19" si="2">SUM(B13:B18)</f>
        <v>83</v>
      </c>
      <c r="C19" s="30">
        <f t="shared" si="2"/>
        <v>80</v>
      </c>
      <c r="D19" s="30">
        <f t="shared" si="2"/>
        <v>78</v>
      </c>
      <c r="E19" s="30">
        <f t="shared" si="2"/>
        <v>72</v>
      </c>
      <c r="F19" s="30">
        <f t="shared" si="2"/>
        <v>72</v>
      </c>
      <c r="G19" s="30">
        <f t="shared" si="2"/>
        <v>66</v>
      </c>
      <c r="H19" s="30">
        <f t="shared" si="2"/>
        <v>451</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6"/>
  <sheetViews>
    <sheetView zoomScaleNormal="100" workbookViewId="0">
      <selection activeCell="B1" sqref="B1"/>
    </sheetView>
  </sheetViews>
  <sheetFormatPr defaultColWidth="8.6640625" defaultRowHeight="13.2" x14ac:dyDescent="0.25"/>
  <cols>
    <col min="1" max="1" width="20" customWidth="1"/>
    <col min="2" max="4" width="15" customWidth="1"/>
    <col min="5" max="6" width="12" customWidth="1"/>
  </cols>
  <sheetData>
    <row r="1" spans="1:6" ht="30" customHeight="1" x14ac:dyDescent="0.25">
      <c r="A1" s="20" t="s">
        <v>700</v>
      </c>
      <c r="B1" s="20" t="s">
        <v>701</v>
      </c>
      <c r="C1" s="20" t="s">
        <v>702</v>
      </c>
      <c r="D1" s="20" t="s">
        <v>703</v>
      </c>
    </row>
    <row r="2" spans="1:6" ht="15" customHeight="1" x14ac:dyDescent="0.25">
      <c r="A2" s="21" t="s">
        <v>704</v>
      </c>
      <c r="B2" s="32">
        <f>AVERAGE('Coded Responses'!$D$2:$D$301)</f>
        <v>3.28</v>
      </c>
      <c r="C2" s="33">
        <f>COUNTIF('Coded Responses'!$D$2:$D$301,"&lt;=2")/COUNT('Coded Responses'!$D$2:$D$301)</f>
        <v>0.23333333333333334</v>
      </c>
      <c r="D2" s="33">
        <f>COUNTIF('Coded Responses'!$D$2:$D$301,"&gt;=4")/COUNT('Coded Responses'!$D$2:$D$301)</f>
        <v>0.44333333333333336</v>
      </c>
    </row>
    <row r="3" spans="1:6" ht="15" customHeight="1" x14ac:dyDescent="0.25">
      <c r="A3" s="21" t="s">
        <v>705</v>
      </c>
      <c r="B3" s="32">
        <f>AVERAGE('Coded Responses'!$E$2:$E$301)</f>
        <v>3.25</v>
      </c>
      <c r="C3" s="33">
        <f>COUNTIF('Coded Responses'!$E$2:$E$301,"&lt;=2")/COUNT('Coded Responses'!$E$2:$E$301)</f>
        <v>0.22666666666666666</v>
      </c>
      <c r="D3" s="33">
        <f>COUNTIF('Coded Responses'!$E$2:$E$301,"&gt;=4")/COUNT('Coded Responses'!$E$2:$E$301)</f>
        <v>0.39</v>
      </c>
    </row>
    <row r="4" spans="1:6" ht="15" customHeight="1" x14ac:dyDescent="0.25">
      <c r="A4" s="21" t="s">
        <v>706</v>
      </c>
      <c r="B4" s="32">
        <f>AVERAGE('Coded Responses'!$F$2:$F$301)</f>
        <v>3.3066666666666666</v>
      </c>
      <c r="C4" s="33">
        <f>COUNTIF('Coded Responses'!$F$2:$F$301,"&lt;=2")/COUNT('Coded Responses'!$F$2:$F$301)</f>
        <v>0.22</v>
      </c>
      <c r="D4" s="33">
        <f>COUNTIF('Coded Responses'!$F$2:$F$301,"&gt;=4")/COUNT('Coded Responses'!$F$2:$F$301)</f>
        <v>0.43333333333333335</v>
      </c>
    </row>
    <row r="5" spans="1:6" ht="15" customHeight="1" x14ac:dyDescent="0.25">
      <c r="A5" s="21" t="s">
        <v>707</v>
      </c>
      <c r="B5" s="32">
        <f>AVERAGE('Coded Responses'!$G$2:$G$301)</f>
        <v>3.3066666666666666</v>
      </c>
      <c r="C5" s="33">
        <f>COUNTIF('Coded Responses'!$G$2:$G$301,"&lt;=2")/COUNT('Coded Responses'!$G$2:$G$301)</f>
        <v>0.2</v>
      </c>
      <c r="D5" s="33">
        <f>COUNTIF('Coded Responses'!$G$2:$G$301,"&gt;=4")/COUNT('Coded Responses'!$G$2:$G$301)</f>
        <v>0.43</v>
      </c>
    </row>
    <row r="6" spans="1:6" ht="15" customHeight="1" x14ac:dyDescent="0.25">
      <c r="A6" s="21" t="s">
        <v>708</v>
      </c>
      <c r="B6" s="32">
        <f>AVERAGE('Coded Responses'!$H$2:$H$301)</f>
        <v>3.4233333333333333</v>
      </c>
      <c r="C6" s="33">
        <f>COUNTIF('Coded Responses'!$H$2:$H$301,"&lt;=2")/COUNT('Coded Responses'!$H$2:$H$301)</f>
        <v>0.18333333333333332</v>
      </c>
      <c r="D6" s="33">
        <f>COUNTIF('Coded Responses'!$H$2:$H$301,"&gt;=4")/COUNT('Coded Responses'!$H$2:$H$301)</f>
        <v>0.49</v>
      </c>
    </row>
    <row r="8" spans="1:6" ht="19.5" customHeight="1" x14ac:dyDescent="0.25">
      <c r="A8" s="23" t="s">
        <v>709</v>
      </c>
    </row>
    <row r="9" spans="1:6" ht="30" customHeight="1" x14ac:dyDescent="0.25">
      <c r="A9" s="20" t="s">
        <v>699</v>
      </c>
      <c r="B9" s="20" t="s">
        <v>704</v>
      </c>
      <c r="C9" s="20" t="s">
        <v>705</v>
      </c>
      <c r="D9" s="20" t="s">
        <v>706</v>
      </c>
      <c r="E9" s="20" t="s">
        <v>707</v>
      </c>
      <c r="F9" s="20" t="s">
        <v>708</v>
      </c>
    </row>
    <row r="10" spans="1:6" x14ac:dyDescent="0.25">
      <c r="A10" s="28" t="s">
        <v>77</v>
      </c>
      <c r="B10" s="32">
        <f>AVERAGEIFS('Coded Responses'!$D$2:$D$301,'Coded Responses'!$B$2:$B$301,$A10)</f>
        <v>3.3829787234042552</v>
      </c>
      <c r="C10" s="32">
        <f>AVERAGEIFS('Coded Responses'!$E$2:$E$301,'Coded Responses'!$B$2:$B$301,$A10)</f>
        <v>3.0638297872340425</v>
      </c>
      <c r="D10" s="32">
        <f>AVERAGEIFS('Coded Responses'!$F$2:$F$301,'Coded Responses'!$B$2:$B$301,$A10)</f>
        <v>3.0851063829787235</v>
      </c>
      <c r="E10" s="32">
        <f>AVERAGEIFS('Coded Responses'!$G$2:$G$301,'Coded Responses'!$B$2:$B$301,$A10)</f>
        <v>3.2765957446808511</v>
      </c>
      <c r="F10" s="32">
        <f>AVERAGEIFS('Coded Responses'!$H$2:$H$301,'Coded Responses'!$B$2:$B$301,$A10)</f>
        <v>3.3404255319148937</v>
      </c>
    </row>
    <row r="11" spans="1:6" x14ac:dyDescent="0.25">
      <c r="A11" s="28" t="s">
        <v>91</v>
      </c>
      <c r="B11" s="32">
        <f>AVERAGEIFS('Coded Responses'!$D$2:$D$301,'Coded Responses'!$B$2:$B$301,$A11)</f>
        <v>3.2407407407407409</v>
      </c>
      <c r="C11" s="32">
        <f>AVERAGEIFS('Coded Responses'!$E$2:$E$301,'Coded Responses'!$B$2:$B$301,$A11)</f>
        <v>3.2037037037037037</v>
      </c>
      <c r="D11" s="32">
        <f>AVERAGEIFS('Coded Responses'!$F$2:$F$301,'Coded Responses'!$B$2:$B$301,$A11)</f>
        <v>3.3333333333333335</v>
      </c>
      <c r="E11" s="32">
        <f>AVERAGEIFS('Coded Responses'!$G$2:$G$301,'Coded Responses'!$B$2:$B$301,$A11)</f>
        <v>3.2777777777777777</v>
      </c>
      <c r="F11" s="32">
        <f>AVERAGEIFS('Coded Responses'!$H$2:$H$301,'Coded Responses'!$B$2:$B$301,$A11)</f>
        <v>3.6296296296296298</v>
      </c>
    </row>
    <row r="12" spans="1:6" x14ac:dyDescent="0.25">
      <c r="A12" s="28" t="s">
        <v>108</v>
      </c>
      <c r="B12" s="32">
        <f>AVERAGEIFS('Coded Responses'!$D$2:$D$301,'Coded Responses'!$B$2:$B$301,$A12)</f>
        <v>3.4468085106382977</v>
      </c>
      <c r="C12" s="32">
        <f>AVERAGEIFS('Coded Responses'!$E$2:$E$301,'Coded Responses'!$B$2:$B$301,$A12)</f>
        <v>3.2765957446808511</v>
      </c>
      <c r="D12" s="32">
        <f>AVERAGEIFS('Coded Responses'!$F$2:$F$301,'Coded Responses'!$B$2:$B$301,$A12)</f>
        <v>3.2340425531914891</v>
      </c>
      <c r="E12" s="32">
        <f>AVERAGEIFS('Coded Responses'!$G$2:$G$301,'Coded Responses'!$B$2:$B$301,$A12)</f>
        <v>3.1702127659574466</v>
      </c>
      <c r="F12" s="32">
        <f>AVERAGEIFS('Coded Responses'!$H$2:$H$301,'Coded Responses'!$B$2:$B$301,$A12)</f>
        <v>3.3617021276595747</v>
      </c>
    </row>
    <row r="13" spans="1:6" x14ac:dyDescent="0.25">
      <c r="A13" s="28" t="s">
        <v>82</v>
      </c>
      <c r="B13" s="32">
        <f>AVERAGEIFS('Coded Responses'!$D$2:$D$301,'Coded Responses'!$B$2:$B$301,$A13)</f>
        <v>2.9791666666666665</v>
      </c>
      <c r="C13" s="32">
        <f>AVERAGEIFS('Coded Responses'!$E$2:$E$301,'Coded Responses'!$B$2:$B$301,$A13)</f>
        <v>3.25</v>
      </c>
      <c r="D13" s="32">
        <f>AVERAGEIFS('Coded Responses'!$F$2:$F$301,'Coded Responses'!$B$2:$B$301,$A13)</f>
        <v>3.2291666666666665</v>
      </c>
      <c r="E13" s="32">
        <f>AVERAGEIFS('Coded Responses'!$G$2:$G$301,'Coded Responses'!$B$2:$B$301,$A13)</f>
        <v>3.1458333333333335</v>
      </c>
      <c r="F13" s="32">
        <f>AVERAGEIFS('Coded Responses'!$H$2:$H$301,'Coded Responses'!$B$2:$B$301,$A13)</f>
        <v>3.2083333333333335</v>
      </c>
    </row>
    <row r="14" spans="1:6" x14ac:dyDescent="0.25">
      <c r="A14" s="28" t="s">
        <v>118</v>
      </c>
      <c r="B14" s="32">
        <f>AVERAGEIFS('Coded Responses'!$D$2:$D$301,'Coded Responses'!$B$2:$B$301,$A14)</f>
        <v>3.3207547169811322</v>
      </c>
      <c r="C14" s="32">
        <f>AVERAGEIFS('Coded Responses'!$E$2:$E$301,'Coded Responses'!$B$2:$B$301,$A14)</f>
        <v>3.358490566037736</v>
      </c>
      <c r="D14" s="32">
        <f>AVERAGEIFS('Coded Responses'!$F$2:$F$301,'Coded Responses'!$B$2:$B$301,$A14)</f>
        <v>3.3396226415094339</v>
      </c>
      <c r="E14" s="32">
        <f>AVERAGEIFS('Coded Responses'!$G$2:$G$301,'Coded Responses'!$B$2:$B$301,$A14)</f>
        <v>3.3773584905660377</v>
      </c>
      <c r="F14" s="32">
        <f>AVERAGEIFS('Coded Responses'!$H$2:$H$301,'Coded Responses'!$B$2:$B$301,$A14)</f>
        <v>3.5094339622641511</v>
      </c>
    </row>
    <row r="15" spans="1:6" x14ac:dyDescent="0.25">
      <c r="A15" s="28" t="s">
        <v>73</v>
      </c>
      <c r="B15" s="32">
        <f>AVERAGEIFS('Coded Responses'!$D$2:$D$301,'Coded Responses'!$B$2:$B$301,$A15)</f>
        <v>3.3137254901960786</v>
      </c>
      <c r="C15" s="32">
        <f>AVERAGEIFS('Coded Responses'!$E$2:$E$301,'Coded Responses'!$B$2:$B$301,$A15)</f>
        <v>3.3333333333333335</v>
      </c>
      <c r="D15" s="32">
        <f>AVERAGEIFS('Coded Responses'!$F$2:$F$301,'Coded Responses'!$B$2:$B$301,$A15)</f>
        <v>3.5882352941176472</v>
      </c>
      <c r="E15" s="32">
        <f>AVERAGEIFS('Coded Responses'!$G$2:$G$301,'Coded Responses'!$B$2:$B$301,$A15)</f>
        <v>3.5686274509803924</v>
      </c>
      <c r="F15" s="32">
        <f>AVERAGEIFS('Coded Responses'!$H$2:$H$301,'Coded Responses'!$B$2:$B$301,$A15)</f>
        <v>3.4509803921568629</v>
      </c>
    </row>
    <row r="16" spans="1:6" x14ac:dyDescent="0.25">
      <c r="A16" s="21" t="s">
        <v>710</v>
      </c>
      <c r="B16" s="34">
        <f>AVERAGE('Coded Responses'!$D$2:$D$301)</f>
        <v>3.28</v>
      </c>
      <c r="C16" s="34">
        <f>AVERAGE('Coded Responses'!$E$2:$E$301)</f>
        <v>3.25</v>
      </c>
      <c r="D16" s="34">
        <f>AVERAGE('Coded Responses'!$F$2:$F$301)</f>
        <v>3.3066666666666666</v>
      </c>
      <c r="E16" s="34">
        <f>AVERAGE('Coded Responses'!$G$2:$G$301)</f>
        <v>3.3066666666666666</v>
      </c>
      <c r="F16" s="34">
        <f>AVERAGE('Coded Responses'!$H$2:$H$301)</f>
        <v>3.4233333333333333</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6"/>
  <sheetViews>
    <sheetView zoomScaleNormal="100" workbookViewId="0">
      <selection activeCell="D13" sqref="D13"/>
    </sheetView>
  </sheetViews>
  <sheetFormatPr defaultColWidth="8.6640625" defaultRowHeight="13.2" x14ac:dyDescent="0.25"/>
  <cols>
    <col min="1" max="1" width="30" customWidth="1"/>
    <col min="2" max="2" width="26" customWidth="1"/>
    <col min="3" max="8" width="14" customWidth="1"/>
  </cols>
  <sheetData>
    <row r="1" spans="1:8" ht="45" customHeight="1" x14ac:dyDescent="0.25">
      <c r="A1" s="20" t="s">
        <v>6</v>
      </c>
      <c r="B1" s="20" t="s">
        <v>711</v>
      </c>
      <c r="C1" s="20" t="s">
        <v>712</v>
      </c>
      <c r="D1" s="20" t="s">
        <v>713</v>
      </c>
      <c r="E1" s="20" t="s">
        <v>714</v>
      </c>
      <c r="F1" s="20" t="s">
        <v>715</v>
      </c>
      <c r="G1" s="20" t="s">
        <v>716</v>
      </c>
      <c r="H1" s="20" t="s">
        <v>717</v>
      </c>
    </row>
    <row r="2" spans="1:8" ht="15" customHeight="1" x14ac:dyDescent="0.25">
      <c r="A2" s="28" t="s">
        <v>514</v>
      </c>
      <c r="B2" s="22" t="s">
        <v>66</v>
      </c>
      <c r="C2" s="46">
        <f>COUNTIF('Coded Responses'!$M$2:$M$301,"Manager support Negative")</f>
        <v>45</v>
      </c>
      <c r="D2" s="47">
        <f>COUNTIFS('Coded Responses'!$M$2:$M$301,"Manager support Negative",'Coded Responses'!$E$2:$E$301,"&lt;=2")/COUNTIF('Coded Responses'!$M$2:$M$301,"Manager support Negative")</f>
        <v>0.31111111111111112</v>
      </c>
      <c r="E2" s="48">
        <f>AVERAGEIFS('Coded Responses'!$E$2:$E$301,'Coded Responses'!$M$2:$M$301,"Manager support Negative")</f>
        <v>2.8888888888888888</v>
      </c>
      <c r="F2" s="32">
        <f>AVERAGEIFS('Coded Responses'!$E$2:$E$301,'Coded Responses'!$M$2:$M$301,"Everyone else")</f>
        <v>3.3137254901960786</v>
      </c>
      <c r="G2" s="35">
        <f>100*(COUNTIFS('Coded Responses'!$M$2:$M$301,"Manager support Negative",'Coded Responses'!$I$2:$I$301,"&gt;=9")/COUNTIF('Coded Responses'!$M$2:$M$301,"Manager support Negative")-COUNTIFS('Coded Responses'!$M$2:$M$301,"Manager support Negative",'Coded Responses'!$I$2:$I$301,"&lt;=6")/COUNTIF('Coded Responses'!$M$2:$M$301,"Manager support Negative"))</f>
        <v>-75.555555555555571</v>
      </c>
      <c r="H2" s="35">
        <f>100*(COUNTIFS('Coded Responses'!$M$2:$M$301,"Everyone else",'Coded Responses'!$I$2:$I$301,"&gt;=9")/COUNTIF('Coded Responses'!$M$2:$M$301,"Everyone else")-COUNTIFS('Coded Responses'!$M$2:$M$301,"Everyone else",'Coded Responses'!$I$2:$I$301,"&lt;=6")/COUNTIF('Coded Responses'!$M$2:$M$301,"Everyone else"))</f>
        <v>-36.078431372549026</v>
      </c>
    </row>
    <row r="3" spans="1:8" ht="15" customHeight="1" x14ac:dyDescent="0.25">
      <c r="A3" s="28" t="s">
        <v>525</v>
      </c>
      <c r="B3" s="22" t="s">
        <v>67</v>
      </c>
      <c r="C3" s="46">
        <f>COUNTIF('Coded Responses'!$Q$2:$Q$301,"Pay and benefits Negative")</f>
        <v>38</v>
      </c>
      <c r="D3" s="47">
        <f>COUNTIFS('Coded Responses'!$Q$2:$Q$301,"Pay and benefits Negative",'Coded Responses'!$F$2:$F$301,"&lt;=2")/COUNTIF('Coded Responses'!$Q$2:$Q$301,"Pay and benefits Negative")</f>
        <v>0.44736842105263158</v>
      </c>
      <c r="E3" s="48">
        <f>AVERAGEIFS('Coded Responses'!$F$2:$F$301,'Coded Responses'!$Q$2:$Q$301,"Pay and benefits Negative")</f>
        <v>2.6842105263157894</v>
      </c>
      <c r="F3" s="32">
        <f>AVERAGEIFS('Coded Responses'!$F$2:$F$301,'Coded Responses'!$Q$2:$Q$301,"Everyone else")</f>
        <v>3.3969465648854964</v>
      </c>
      <c r="G3" s="35">
        <f>100*(COUNTIFS('Coded Responses'!$Q$2:$Q$301,"Pay and benefits Negative",'Coded Responses'!$I$2:$I$301,"&gt;=9")/COUNTIF('Coded Responses'!$Q$2:$Q$301,"Pay and benefits Negative")-COUNTIFS('Coded Responses'!$Q$2:$Q$301,"Pay and benefits Negative",'Coded Responses'!$I$2:$I$301,"&lt;=6")/COUNTIF('Coded Responses'!$Q$2:$Q$301,"Pay and benefits Negative"))</f>
        <v>-78.94736842105263</v>
      </c>
      <c r="H3" s="35">
        <f>100*(COUNTIFS('Coded Responses'!$Q$2:$Q$301,"Everyone else",'Coded Responses'!$I$2:$I$301,"&gt;=9")/COUNTIF('Coded Responses'!$Q$2:$Q$301,"Everyone else")-COUNTIFS('Coded Responses'!$Q$2:$Q$301,"Everyone else",'Coded Responses'!$I$2:$I$301,"&lt;=6")/COUNTIF('Coded Responses'!$Q$2:$Q$301,"Everyone else"))</f>
        <v>-36.641221374045799</v>
      </c>
    </row>
    <row r="4" spans="1:8" ht="15" customHeight="1" x14ac:dyDescent="0.25">
      <c r="A4" s="28" t="s">
        <v>520</v>
      </c>
      <c r="B4" s="22" t="s">
        <v>68</v>
      </c>
      <c r="C4" s="46">
        <f>COUNTIF('Coded Responses'!$R$2:$R$301,"Career growth Negative")</f>
        <v>35</v>
      </c>
      <c r="D4" s="47">
        <f>COUNTIFS('Coded Responses'!$R$2:$R$301,"Career growth Negative",'Coded Responses'!$G$2:$G$301,"&lt;=2")/COUNTIF('Coded Responses'!$R$2:$R$301,"Career growth Negative")</f>
        <v>0.4</v>
      </c>
      <c r="E4" s="48">
        <f>AVERAGEIFS('Coded Responses'!$G$2:$G$301,'Coded Responses'!$R$2:$R$301,"Career growth Negative")</f>
        <v>2.7714285714285714</v>
      </c>
      <c r="F4" s="32">
        <f>AVERAGEIFS('Coded Responses'!$G$2:$G$301,'Coded Responses'!$R$2:$R$301,"Everyone else")</f>
        <v>3.3773584905660377</v>
      </c>
      <c r="G4" s="35">
        <f>100*(COUNTIFS('Coded Responses'!$R$2:$R$301,"Career growth Negative",'Coded Responses'!$I$2:$I$301,"&gt;=9")/COUNTIF('Coded Responses'!$R$2:$R$301,"Career growth Negative")-COUNTIFS('Coded Responses'!$R$2:$R$301,"Career growth Negative",'Coded Responses'!$I$2:$I$301,"&lt;=6")/COUNTIF('Coded Responses'!$R$2:$R$301,"Career growth Negative"))</f>
        <v>-60</v>
      </c>
      <c r="H4" s="35">
        <f>100*(COUNTIFS('Coded Responses'!$R$2:$R$301,"Everyone else",'Coded Responses'!$I$2:$I$301,"&gt;=9")/COUNTIF('Coded Responses'!$R$2:$R$301,"Everyone else")-COUNTIFS('Coded Responses'!$R$2:$R$301,"Everyone else",'Coded Responses'!$I$2:$I$301,"&lt;=6")/COUNTIF('Coded Responses'!$R$2:$R$301,"Everyone else"))</f>
        <v>-39.622641509433961</v>
      </c>
    </row>
    <row r="5" spans="1:8" ht="15" customHeight="1" x14ac:dyDescent="0.25">
      <c r="A5" s="28" t="s">
        <v>516</v>
      </c>
      <c r="B5" s="22" t="s">
        <v>69</v>
      </c>
      <c r="C5" s="46">
        <f>COUNTIF('Coded Responses'!$N$2:$N$301,"Flexibility Negative")</f>
        <v>49</v>
      </c>
      <c r="D5" s="47">
        <f>COUNTIFS('Coded Responses'!$N$2:$N$301,"Flexibility Negative",'Coded Responses'!$H$2:$H$301,"&lt;=2")/COUNTIF('Coded Responses'!$N$2:$N$301,"Flexibility Negative")</f>
        <v>0.30612244897959184</v>
      </c>
      <c r="E5" s="48">
        <f>AVERAGEIFS('Coded Responses'!$H$2:$H$301,'Coded Responses'!$N$2:$N$301,"Flexibility Negative")</f>
        <v>2.9387755102040818</v>
      </c>
      <c r="F5" s="32">
        <f>AVERAGEIFS('Coded Responses'!$H$2:$H$301,'Coded Responses'!$N$2:$N$301,"Everyone else")</f>
        <v>3.5179282868525896</v>
      </c>
      <c r="G5" s="35">
        <f>100*(COUNTIFS('Coded Responses'!$N$2:$N$301,"Flexibility Negative",'Coded Responses'!$I$2:$I$301,"&gt;=9")/COUNTIF('Coded Responses'!$N$2:$N$301,"Flexibility Negative")-COUNTIFS('Coded Responses'!$N$2:$N$301,"Flexibility Negative",'Coded Responses'!$I$2:$I$301,"&lt;=6")/COUNTIF('Coded Responses'!$N$2:$N$301,"Flexibility Negative"))</f>
        <v>-75.510204081632651</v>
      </c>
      <c r="H5" s="35">
        <f>100*(COUNTIFS('Coded Responses'!$N$2:$N$301,"Everyone else",'Coded Responses'!$I$2:$I$301,"&gt;=9")/COUNTIF('Coded Responses'!$N$2:$N$301,"Everyone else")-COUNTIFS('Coded Responses'!$N$2:$N$301,"Everyone else",'Coded Responses'!$I$2:$I$301,"&lt;=6")/COUNTIF('Coded Responses'!$N$2:$N$301,"Everyone else"))</f>
        <v>-35.458167330677291</v>
      </c>
    </row>
    <row r="6" spans="1:8" ht="15" customHeight="1" x14ac:dyDescent="0.25">
      <c r="A6" s="28" t="s">
        <v>521</v>
      </c>
      <c r="B6" s="22" t="s">
        <v>69</v>
      </c>
      <c r="C6" s="46">
        <f>COUNTIF('Coded Responses'!$O$2:$O$301,"Workload Negative")</f>
        <v>40</v>
      </c>
      <c r="D6" s="47">
        <f>COUNTIFS('Coded Responses'!$O$2:$O$301,"Workload Negative",'Coded Responses'!$H$2:$H$301,"&lt;=2")/COUNTIF('Coded Responses'!$O$2:$O$301,"Workload Negative")</f>
        <v>0.2</v>
      </c>
      <c r="E6" s="48">
        <f>AVERAGEIFS('Coded Responses'!$H$2:$H$301,'Coded Responses'!$O$2:$O$301,"Workload Negative")</f>
        <v>3.15</v>
      </c>
      <c r="F6" s="32">
        <f>AVERAGEIFS('Coded Responses'!$H$2:$H$301,'Coded Responses'!$O$2:$O$301,"Everyone else")</f>
        <v>3.4653846153846155</v>
      </c>
      <c r="G6" s="35">
        <f>100*(COUNTIFS('Coded Responses'!$O$2:$O$301,"Workload Negative",'Coded Responses'!$I$2:$I$301,"&gt;=9")/COUNTIF('Coded Responses'!$O$2:$O$301,"Workload Negative")-COUNTIFS('Coded Responses'!$O$2:$O$301,"Workload Negative",'Coded Responses'!$I$2:$I$301,"&lt;=6")/COUNTIF('Coded Responses'!$O$2:$O$301,"Workload Negative"))</f>
        <v>-87.5</v>
      </c>
      <c r="H6" s="35">
        <f>100*(COUNTIFS('Coded Responses'!$O$2:$O$301,"Everyone else",'Coded Responses'!$I$2:$I$301,"&gt;=9")/COUNTIF('Coded Responses'!$O$2:$O$301,"Everyone else")-COUNTIFS('Coded Responses'!$O$2:$O$301,"Everyone else",'Coded Responses'!$I$2:$I$301,"&lt;=6")/COUNTIF('Coded Responses'!$O$2:$O$301,"Everyone else"))</f>
        <v>-35</v>
      </c>
    </row>
    <row r="7" spans="1:8" ht="15" customHeight="1" x14ac:dyDescent="0.25">
      <c r="A7" s="28" t="s">
        <v>528</v>
      </c>
      <c r="B7" s="22" t="s">
        <v>65</v>
      </c>
      <c r="C7" s="46">
        <f>COUNTIF('Coded Responses'!$P$2:$P$301,"Tools and systems Negative")</f>
        <v>41</v>
      </c>
      <c r="D7" s="47">
        <f>COUNTIFS('Coded Responses'!$P$2:$P$301,"Tools and systems Negative",'Coded Responses'!$D$2:$D$301,"&lt;=2")/COUNTIF('Coded Responses'!$P$2:$P$301,"Tools and systems Negative")</f>
        <v>0.36585365853658536</v>
      </c>
      <c r="E7" s="48">
        <f>AVERAGEIFS('Coded Responses'!$D$2:$D$301,'Coded Responses'!$P$2:$P$301,"Tools and systems Negative")</f>
        <v>2.6097560975609757</v>
      </c>
      <c r="F7" s="32">
        <f>AVERAGEIFS('Coded Responses'!$D$2:$D$301,'Coded Responses'!$P$2:$P$301,"Everyone else")</f>
        <v>3.3861003861003862</v>
      </c>
      <c r="G7" s="35">
        <f>100*(COUNTIFS('Coded Responses'!$P$2:$P$301,"Tools and systems Negative",'Coded Responses'!$I$2:$I$301,"&gt;=9")/COUNTIF('Coded Responses'!$P$2:$P$301,"Tools and systems Negative")-COUNTIFS('Coded Responses'!$P$2:$P$301,"Tools and systems Negative",'Coded Responses'!$I$2:$I$301,"&lt;=6")/COUNTIF('Coded Responses'!$P$2:$P$301,"Tools and systems Negative"))</f>
        <v>-78.048780487804876</v>
      </c>
      <c r="H7" s="35">
        <f>100*(COUNTIFS('Coded Responses'!$P$2:$P$301,"Everyone else",'Coded Responses'!$I$2:$I$301,"&gt;=9")/COUNTIF('Coded Responses'!$P$2:$P$301,"Everyone else")-COUNTIFS('Coded Responses'!$P$2:$P$301,"Everyone else",'Coded Responses'!$I$2:$I$301,"&lt;=6")/COUNTIF('Coded Responses'!$P$2:$P$301,"Everyone else"))</f>
        <v>-36.293436293436287</v>
      </c>
    </row>
    <row r="9" spans="1:8" ht="19.5" customHeight="1" x14ac:dyDescent="0.25">
      <c r="A9" s="23" t="s">
        <v>718</v>
      </c>
    </row>
    <row r="10" spans="1:8" ht="30" customHeight="1" x14ac:dyDescent="0.25">
      <c r="A10" s="20" t="s">
        <v>719</v>
      </c>
      <c r="B10" s="20" t="s">
        <v>720</v>
      </c>
    </row>
    <row r="11" spans="1:8" ht="12.75" customHeight="1" x14ac:dyDescent="0.25">
      <c r="A11" s="28" t="s">
        <v>721</v>
      </c>
      <c r="B11" s="29">
        <f>COUNTIF('Coded Responses'!$O$2:$O$301,"Workload Negative")</f>
        <v>40</v>
      </c>
    </row>
    <row r="12" spans="1:8" ht="12.75" customHeight="1" x14ac:dyDescent="0.25">
      <c r="A12" s="28" t="s">
        <v>722</v>
      </c>
      <c r="B12" s="29">
        <f>COUNTIFS('Coded Responses'!$O$2:$O$301,"Workload Negative",'Coded Responses'!$H$2:$H$301,"&lt;=2")</f>
        <v>8</v>
      </c>
    </row>
    <row r="13" spans="1:8" ht="12.75" customHeight="1" x14ac:dyDescent="0.25">
      <c r="A13" s="28" t="s">
        <v>723</v>
      </c>
      <c r="B13" s="33">
        <f>COUNTIFS('Coded Responses'!$O$2:$O$301,"Workload Negative",'Coded Responses'!$H$2:$H$301,"&lt;=2")/COUNTIF('Coded Responses'!$O$2:$O$301,"Workload Negative")</f>
        <v>0.2</v>
      </c>
    </row>
    <row r="14" spans="1:8" ht="12.75" customHeight="1" x14ac:dyDescent="0.25">
      <c r="A14" s="28" t="s">
        <v>724</v>
      </c>
      <c r="B14" s="32">
        <f>AVERAGEIFS('Coded Responses'!$H$2:$H$301,'Coded Responses'!$O$2:$O$301,"Workload Negative")</f>
        <v>3.15</v>
      </c>
    </row>
    <row r="15" spans="1:8" ht="12.75" customHeight="1" x14ac:dyDescent="0.25">
      <c r="A15" s="28" t="s">
        <v>725</v>
      </c>
      <c r="B15" s="35">
        <f>100*(COUNTIFS('Coded Responses'!$O$2:$O$301,"Workload Negative",'Coded Responses'!$I$2:$I$301,"&gt;=9")/COUNTIF('Coded Responses'!$O$2:$O$301,"Workload Negative")-COUNTIFS('Coded Responses'!$O$2:$O$301,"Workload Negative",'Coded Responses'!$I$2:$I$301,"&lt;=6")/COUNTIF('Coded Responses'!$O$2:$O$301,"Workload Negative"))</f>
        <v>-87.5</v>
      </c>
    </row>
    <row r="16" spans="1:8" ht="12.75" customHeight="1" x14ac:dyDescent="0.25"/>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51"/>
  <sheetViews>
    <sheetView topLeftCell="B1" zoomScaleNormal="100" workbookViewId="0">
      <pane ySplit="1" topLeftCell="A2" activePane="bottomLeft" state="frozen"/>
      <selection activeCell="D1" sqref="D1"/>
      <selection pane="bottomLeft" activeCell="C18" sqref="C18"/>
    </sheetView>
  </sheetViews>
  <sheetFormatPr defaultColWidth="8.6640625" defaultRowHeight="13.2" x14ac:dyDescent="0.25"/>
  <cols>
    <col min="1" max="1" width="13" customWidth="1"/>
    <col min="2" max="2" width="58" customWidth="1"/>
    <col min="3" max="4" width="34" customWidth="1"/>
    <col min="5" max="7" width="11" customWidth="1"/>
    <col min="8" max="8" width="3" customWidth="1"/>
    <col min="9" max="9" width="18" customWidth="1"/>
    <col min="10" max="10" width="12" customWidth="1"/>
    <col min="11" max="11" width="30" customWidth="1"/>
  </cols>
  <sheetData>
    <row r="1" spans="1:11" ht="30" customHeight="1" x14ac:dyDescent="0.25">
      <c r="A1" s="20" t="s">
        <v>62</v>
      </c>
      <c r="B1" s="20" t="s">
        <v>726</v>
      </c>
      <c r="C1" s="20" t="s">
        <v>727</v>
      </c>
      <c r="D1" s="20" t="s">
        <v>728</v>
      </c>
      <c r="E1" s="20" t="s">
        <v>729</v>
      </c>
      <c r="F1" s="20" t="s">
        <v>730</v>
      </c>
      <c r="G1" s="20" t="s">
        <v>731</v>
      </c>
      <c r="I1" s="20" t="s">
        <v>719</v>
      </c>
      <c r="J1" s="20" t="s">
        <v>720</v>
      </c>
      <c r="K1" s="36"/>
    </row>
    <row r="2" spans="1:11" ht="25.5" customHeight="1" x14ac:dyDescent="0.25">
      <c r="A2" s="25" t="str">
        <f>'Coded Responses'!A2</f>
        <v>R0001</v>
      </c>
      <c r="B2" s="22" t="str">
        <f>'Coded Responses'!J2</f>
        <v>My manager gives regular, useful feedback.</v>
      </c>
      <c r="C2" s="22" t="str">
        <f>'Coded Responses'!K2</f>
        <v>Manager support</v>
      </c>
      <c r="D2" s="37" t="s">
        <v>514</v>
      </c>
      <c r="E2" s="25" t="str">
        <f>'Coded Responses'!L2</f>
        <v>Positive</v>
      </c>
      <c r="F2" s="38" t="s">
        <v>515</v>
      </c>
      <c r="G2" s="25" t="str">
        <f t="shared" ref="G2:G33" si="0">IF(AND(C2=D2,E2=F2),"Yes","No")</f>
        <v>Yes</v>
      </c>
      <c r="I2" s="21" t="s">
        <v>732</v>
      </c>
      <c r="J2" s="39">
        <f>COUNTA(D2:D51)</f>
        <v>50</v>
      </c>
    </row>
    <row r="3" spans="1:11" ht="25.5" customHeight="1" x14ac:dyDescent="0.25">
      <c r="A3" s="25" t="str">
        <f>'Coded Responses'!A3</f>
        <v>R0002</v>
      </c>
      <c r="B3" s="22" t="str">
        <f>'Coded Responses'!J3</f>
        <v>Flexible hours are very helpful.</v>
      </c>
      <c r="C3" s="22" t="str">
        <f>'Coded Responses'!K3</f>
        <v>Flexibility</v>
      </c>
      <c r="D3" s="37" t="s">
        <v>516</v>
      </c>
      <c r="E3" s="25" t="str">
        <f>'Coded Responses'!L3</f>
        <v>Positive</v>
      </c>
      <c r="F3" s="38" t="s">
        <v>515</v>
      </c>
      <c r="G3" s="25" t="str">
        <f t="shared" si="0"/>
        <v>Yes</v>
      </c>
      <c r="I3" s="21" t="s">
        <v>733</v>
      </c>
      <c r="J3" s="39">
        <f>COUNTIF(G2:G51,"Yes")</f>
        <v>50</v>
      </c>
    </row>
    <row r="4" spans="1:11" ht="25.5" customHeight="1" x14ac:dyDescent="0.25">
      <c r="A4" s="25" t="str">
        <f>'Coded Responses'!A4</f>
        <v>R0003</v>
      </c>
      <c r="B4" s="22" t="str">
        <f>'Coded Responses'!J4</f>
        <v>My manager gives regular, useful feedback. Hybrid work helps me balance family.</v>
      </c>
      <c r="C4" s="22" t="str">
        <f>'Coded Responses'!K4</f>
        <v>Manager support; Flexibility</v>
      </c>
      <c r="D4" s="37" t="s">
        <v>517</v>
      </c>
      <c r="E4" s="25" t="str">
        <f>'Coded Responses'!L4</f>
        <v>Positive</v>
      </c>
      <c r="F4" s="38" t="s">
        <v>515</v>
      </c>
      <c r="G4" s="25" t="str">
        <f t="shared" si="0"/>
        <v>Yes</v>
      </c>
      <c r="I4" s="21" t="s">
        <v>734</v>
      </c>
      <c r="J4" s="39">
        <f>COUNTIF(G2:G51,"No")</f>
        <v>0</v>
      </c>
    </row>
    <row r="5" spans="1:11" ht="25.5" customHeight="1" x14ac:dyDescent="0.25">
      <c r="A5" s="25" t="str">
        <f>'Coded Responses'!A5</f>
        <v>R0004</v>
      </c>
      <c r="B5" s="22" t="str">
        <f>'Coded Responses'!J5</f>
        <v>We still use too many manual Excel reports. My manager rarely has time for one-on-ones.</v>
      </c>
      <c r="C5" s="22" t="str">
        <f>'Coded Responses'!K5</f>
        <v>Tools and systems; Manager support</v>
      </c>
      <c r="D5" s="37" t="s">
        <v>518</v>
      </c>
      <c r="E5" s="25" t="str">
        <f>'Coded Responses'!L5</f>
        <v>Negative</v>
      </c>
      <c r="F5" s="38" t="s">
        <v>519</v>
      </c>
      <c r="G5" s="25" t="str">
        <f t="shared" si="0"/>
        <v>Yes</v>
      </c>
      <c r="I5" s="21" t="s">
        <v>735</v>
      </c>
      <c r="J5" s="33">
        <f>IF(J2=0,"",J3/J2)</f>
        <v>1</v>
      </c>
    </row>
    <row r="6" spans="1:11" ht="25.5" customHeight="1" x14ac:dyDescent="0.25">
      <c r="A6" s="25" t="str">
        <f>'Coded Responses'!A6</f>
        <v>R0005</v>
      </c>
      <c r="B6" s="22" t="str">
        <f>'Coded Responses'!J6</f>
        <v>I was promoted on time and learnt a lot.</v>
      </c>
      <c r="C6" s="22" t="str">
        <f>'Coded Responses'!K6</f>
        <v>Career growth</v>
      </c>
      <c r="D6" s="37" t="s">
        <v>520</v>
      </c>
      <c r="E6" s="25" t="str">
        <f>'Coded Responses'!L6</f>
        <v>Positive</v>
      </c>
      <c r="F6" s="38" t="s">
        <v>515</v>
      </c>
      <c r="G6" s="25" t="str">
        <f t="shared" si="0"/>
        <v>Yes</v>
      </c>
    </row>
    <row r="7" spans="1:11" ht="25.5" customHeight="1" x14ac:dyDescent="0.25">
      <c r="A7" s="25" t="str">
        <f>'Coded Responses'!A7</f>
        <v>R0006</v>
      </c>
      <c r="B7" s="22" t="str">
        <f>'Coded Responses'!J7</f>
        <v>Staff shortage means we do two people's work.</v>
      </c>
      <c r="C7" s="22" t="str">
        <f>'Coded Responses'!K7</f>
        <v>Workload</v>
      </c>
      <c r="D7" s="37" t="s">
        <v>521</v>
      </c>
      <c r="E7" s="25" t="str">
        <f>'Coded Responses'!L7</f>
        <v>Negative</v>
      </c>
      <c r="F7" s="38" t="s">
        <v>519</v>
      </c>
      <c r="G7" s="25" t="str">
        <f t="shared" si="0"/>
        <v>Yes</v>
      </c>
      <c r="I7" s="2" t="s">
        <v>736</v>
      </c>
      <c r="J7" s="2"/>
      <c r="K7" s="2"/>
    </row>
    <row r="8" spans="1:11" ht="25.5" customHeight="1" x14ac:dyDescent="0.25">
      <c r="A8" s="25" t="str">
        <f>'Coded Responses'!A8</f>
        <v>R0007</v>
      </c>
      <c r="B8" s="22" t="str">
        <f>'Coded Responses'!J8</f>
        <v>Internal jobs go to outsiders first.</v>
      </c>
      <c r="C8" s="22" t="str">
        <f>'Coded Responses'!K8</f>
        <v>Career growth</v>
      </c>
      <c r="D8" s="37" t="s">
        <v>520</v>
      </c>
      <c r="E8" s="25" t="str">
        <f>'Coded Responses'!L8</f>
        <v>Negative</v>
      </c>
      <c r="F8" s="38" t="s">
        <v>519</v>
      </c>
      <c r="G8" s="25" t="str">
        <f t="shared" si="0"/>
        <v>Yes</v>
      </c>
      <c r="I8" s="2" t="s">
        <v>737</v>
      </c>
      <c r="J8" s="2"/>
      <c r="K8" s="2"/>
    </row>
    <row r="9" spans="1:11" ht="25.5" customHeight="1" x14ac:dyDescent="0.25">
      <c r="A9" s="25" t="str">
        <f>'Coded Responses'!A9</f>
        <v>R0008</v>
      </c>
      <c r="B9" s="22" t="str">
        <f>'Coded Responses'!J9</f>
        <v>Increments did not match inflation this year. Feedback only comes during appraisal.</v>
      </c>
      <c r="C9" s="22" t="str">
        <f>'Coded Responses'!K9</f>
        <v>Pay and benefits; Manager support</v>
      </c>
      <c r="D9" s="37" t="s">
        <v>522</v>
      </c>
      <c r="E9" s="25" t="str">
        <f>'Coded Responses'!L9</f>
        <v>Negative</v>
      </c>
      <c r="F9" s="38" t="s">
        <v>519</v>
      </c>
      <c r="G9" s="25" t="str">
        <f t="shared" si="0"/>
        <v>Yes</v>
      </c>
      <c r="I9" s="2" t="s">
        <v>738</v>
      </c>
      <c r="J9" s="2"/>
      <c r="K9" s="2"/>
    </row>
    <row r="10" spans="1:11" ht="25.5" customHeight="1" x14ac:dyDescent="0.25">
      <c r="A10" s="25" t="str">
        <f>'Coded Responses'!A10</f>
        <v>R0009</v>
      </c>
      <c r="B10" s="22" t="str">
        <f>'Coded Responses'!J10</f>
        <v>My manager rarely has time for one-on-ones.</v>
      </c>
      <c r="C10" s="22" t="str">
        <f>'Coded Responses'!K10</f>
        <v>Manager support</v>
      </c>
      <c r="D10" s="37" t="s">
        <v>514</v>
      </c>
      <c r="E10" s="25" t="str">
        <f>'Coded Responses'!L10</f>
        <v>Negative</v>
      </c>
      <c r="F10" s="38" t="s">
        <v>519</v>
      </c>
      <c r="G10" s="25" t="str">
        <f t="shared" si="0"/>
        <v>Yes</v>
      </c>
    </row>
    <row r="11" spans="1:11" ht="25.5" customHeight="1" x14ac:dyDescent="0.25">
      <c r="A11" s="25" t="str">
        <f>'Coded Responses'!A11</f>
        <v>R0010</v>
      </c>
      <c r="B11" s="22" t="str">
        <f>'Coded Responses'!J11</f>
        <v>No clear promotion criteria.</v>
      </c>
      <c r="C11" s="22" t="str">
        <f>'Coded Responses'!K11</f>
        <v>Career growth</v>
      </c>
      <c r="D11" s="37" t="s">
        <v>520</v>
      </c>
      <c r="E11" s="25" t="str">
        <f>'Coded Responses'!L11</f>
        <v>Negative</v>
      </c>
      <c r="F11" s="38" t="s">
        <v>519</v>
      </c>
      <c r="G11" s="25" t="str">
        <f t="shared" si="0"/>
        <v>Yes</v>
      </c>
    </row>
    <row r="12" spans="1:11" ht="25.5" customHeight="1" x14ac:dyDescent="0.25">
      <c r="A12" s="25" t="str">
        <f>'Coded Responses'!A12</f>
        <v>R0011</v>
      </c>
      <c r="B12" s="22" t="str">
        <f>'Coded Responses'!J12</f>
        <v>Leave approvals are very slow.</v>
      </c>
      <c r="C12" s="22" t="str">
        <f>'Coded Responses'!K12</f>
        <v>Flexibility</v>
      </c>
      <c r="D12" s="37" t="s">
        <v>516</v>
      </c>
      <c r="E12" s="25" t="str">
        <f>'Coded Responses'!L12</f>
        <v>Negative</v>
      </c>
      <c r="F12" s="38" t="s">
        <v>519</v>
      </c>
      <c r="G12" s="25" t="str">
        <f t="shared" si="0"/>
        <v>Yes</v>
      </c>
    </row>
    <row r="13" spans="1:11" ht="25.5" customHeight="1" x14ac:dyDescent="0.25">
      <c r="A13" s="25" t="str">
        <f>'Coded Responses'!A13</f>
        <v>R0012</v>
      </c>
      <c r="B13" s="22" t="str">
        <f>'Coded Responses'!J13</f>
        <v>Internal jobs go to outsiders first.</v>
      </c>
      <c r="C13" s="22" t="str">
        <f>'Coded Responses'!K13</f>
        <v>Career growth</v>
      </c>
      <c r="D13" s="37" t="s">
        <v>520</v>
      </c>
      <c r="E13" s="25" t="str">
        <f>'Coded Responses'!L13</f>
        <v>Negative</v>
      </c>
      <c r="F13" s="38" t="s">
        <v>519</v>
      </c>
      <c r="G13" s="25" t="str">
        <f t="shared" si="0"/>
        <v>Yes</v>
      </c>
    </row>
    <row r="14" spans="1:11" ht="25.5" customHeight="1" x14ac:dyDescent="0.25">
      <c r="A14" s="25" t="str">
        <f>'Coded Responses'!A14</f>
        <v>R0013</v>
      </c>
      <c r="B14" s="22" t="str">
        <f>'Coded Responses'!J14</f>
        <v>Increments did not match inflation this year. Internal jobs go to outsiders first.</v>
      </c>
      <c r="C14" s="22" t="str">
        <f>'Coded Responses'!K14</f>
        <v>Pay and benefits; Career growth</v>
      </c>
      <c r="D14" s="37" t="s">
        <v>523</v>
      </c>
      <c r="E14" s="25" t="str">
        <f>'Coded Responses'!L14</f>
        <v>Negative</v>
      </c>
      <c r="F14" s="38" t="s">
        <v>519</v>
      </c>
      <c r="G14" s="25" t="str">
        <f t="shared" si="0"/>
        <v>Yes</v>
      </c>
    </row>
    <row r="15" spans="1:11" ht="25.5" customHeight="1" x14ac:dyDescent="0.25">
      <c r="A15" s="25" t="str">
        <f>'Coded Responses'!A15</f>
        <v>R0014</v>
      </c>
      <c r="B15" s="22" t="str">
        <f>'Coded Responses'!J15</f>
        <v>Health insurance for parents is a big plus. I was promoted on time and learnt a lot.</v>
      </c>
      <c r="C15" s="22" t="str">
        <f>'Coded Responses'!K15</f>
        <v>Pay and benefits; Career growth</v>
      </c>
      <c r="D15" s="37" t="s">
        <v>523</v>
      </c>
      <c r="E15" s="25" t="str">
        <f>'Coded Responses'!L15</f>
        <v>Positive</v>
      </c>
      <c r="F15" s="38" t="s">
        <v>515</v>
      </c>
      <c r="G15" s="25" t="str">
        <f t="shared" si="0"/>
        <v>Yes</v>
      </c>
    </row>
    <row r="16" spans="1:11" ht="25.5" customHeight="1" x14ac:dyDescent="0.25">
      <c r="A16" s="25" t="str">
        <f>'Coded Responses'!A16</f>
        <v>R0015</v>
      </c>
      <c r="B16" s="22" t="str">
        <f>'Coded Responses'!J16</f>
        <v>Staff shortage means we do two people's work. We still use too many manual Excel reports.</v>
      </c>
      <c r="C16" s="22" t="str">
        <f>'Coded Responses'!K16</f>
        <v>Workload; Tools and systems</v>
      </c>
      <c r="D16" s="37" t="s">
        <v>524</v>
      </c>
      <c r="E16" s="25" t="str">
        <f>'Coded Responses'!L16</f>
        <v>Negative</v>
      </c>
      <c r="F16" s="38" t="s">
        <v>519</v>
      </c>
      <c r="G16" s="25" t="str">
        <f t="shared" si="0"/>
        <v>Yes</v>
      </c>
    </row>
    <row r="17" spans="1:7" ht="25.5" customHeight="1" x14ac:dyDescent="0.25">
      <c r="A17" s="25" t="str">
        <f>'Coded Responses'!A17</f>
        <v>R0016</v>
      </c>
      <c r="B17" s="22" t="str">
        <f>'Coded Responses'!J17</f>
        <v>Increments did not match inflation this year.</v>
      </c>
      <c r="C17" s="22" t="str">
        <f>'Coded Responses'!K17</f>
        <v>Pay and benefits</v>
      </c>
      <c r="D17" s="37" t="s">
        <v>525</v>
      </c>
      <c r="E17" s="25" t="str">
        <f>'Coded Responses'!L17</f>
        <v>Negative</v>
      </c>
      <c r="F17" s="38" t="s">
        <v>519</v>
      </c>
      <c r="G17" s="25" t="str">
        <f t="shared" si="0"/>
        <v>Yes</v>
      </c>
    </row>
    <row r="18" spans="1:7" ht="25.5" customHeight="1" x14ac:dyDescent="0.25">
      <c r="A18" s="25" t="str">
        <f>'Coded Responses'!A18</f>
        <v>R0017</v>
      </c>
      <c r="B18" s="22" t="str">
        <f>'Coded Responses'!J18</f>
        <v>Leave approvals are very slow.</v>
      </c>
      <c r="C18" s="22" t="str">
        <f>'Coded Responses'!K18</f>
        <v>Flexibility</v>
      </c>
      <c r="D18" s="37" t="s">
        <v>516</v>
      </c>
      <c r="E18" s="25" t="str">
        <f>'Coded Responses'!L18</f>
        <v>Negative</v>
      </c>
      <c r="F18" s="38" t="s">
        <v>519</v>
      </c>
      <c r="G18" s="25" t="str">
        <f t="shared" si="0"/>
        <v>Yes</v>
      </c>
    </row>
    <row r="19" spans="1:7" ht="25.5" customHeight="1" x14ac:dyDescent="0.25">
      <c r="A19" s="25" t="str">
        <f>'Coded Responses'!A19</f>
        <v>R0018</v>
      </c>
      <c r="B19" s="22" t="str">
        <f>'Coded Responses'!J19</f>
        <v>Leave approvals are very slow. Staff shortage means we do two people's work.</v>
      </c>
      <c r="C19" s="22" t="str">
        <f>'Coded Responses'!K19</f>
        <v>Flexibility; Workload</v>
      </c>
      <c r="D19" s="37" t="s">
        <v>526</v>
      </c>
      <c r="E19" s="25" t="str">
        <f>'Coded Responses'!L19</f>
        <v>Negative</v>
      </c>
      <c r="F19" s="38" t="s">
        <v>519</v>
      </c>
      <c r="G19" s="25" t="str">
        <f t="shared" si="0"/>
        <v>Yes</v>
      </c>
    </row>
    <row r="20" spans="1:7" ht="25.5" customHeight="1" x14ac:dyDescent="0.25">
      <c r="A20" s="25" t="str">
        <f>'Coded Responses'!A20</f>
        <v>R0019</v>
      </c>
      <c r="B20" s="22" t="str">
        <f>'Coded Responses'!J20</f>
        <v>My manager rarely has time for one-on-ones. Increments did not match inflation this year.</v>
      </c>
      <c r="C20" s="22" t="str">
        <f>'Coded Responses'!K20</f>
        <v>Manager support; Pay and benefits</v>
      </c>
      <c r="D20" s="37" t="s">
        <v>527</v>
      </c>
      <c r="E20" s="25" t="str">
        <f>'Coded Responses'!L20</f>
        <v>Negative</v>
      </c>
      <c r="F20" s="38" t="s">
        <v>519</v>
      </c>
      <c r="G20" s="25" t="str">
        <f t="shared" si="0"/>
        <v>Yes</v>
      </c>
    </row>
    <row r="21" spans="1:7" ht="25.5" customHeight="1" x14ac:dyDescent="0.25">
      <c r="A21" s="25" t="str">
        <f>'Coded Responses'!A21</f>
        <v>R0020</v>
      </c>
      <c r="B21" s="22" t="str">
        <f>'Coded Responses'!J21</f>
        <v>Systems are slow and crash often.</v>
      </c>
      <c r="C21" s="22" t="str">
        <f>'Coded Responses'!K21</f>
        <v>Tools and systems</v>
      </c>
      <c r="D21" s="37" t="s">
        <v>528</v>
      </c>
      <c r="E21" s="25" t="str">
        <f>'Coded Responses'!L21</f>
        <v>Negative</v>
      </c>
      <c r="F21" s="38" t="s">
        <v>519</v>
      </c>
      <c r="G21" s="25" t="str">
        <f t="shared" si="0"/>
        <v>Yes</v>
      </c>
    </row>
    <row r="22" spans="1:7" ht="25.5" customHeight="1" x14ac:dyDescent="0.25">
      <c r="A22" s="25" t="str">
        <f>'Coded Responses'!A22</f>
        <v>R0021</v>
      </c>
      <c r="B22" s="22" t="str">
        <f>'Coded Responses'!J22</f>
        <v>Salary is fair for the market.</v>
      </c>
      <c r="C22" s="22" t="str">
        <f>'Coded Responses'!K22</f>
        <v>Pay and benefits</v>
      </c>
      <c r="D22" s="37" t="s">
        <v>525</v>
      </c>
      <c r="E22" s="25" t="str">
        <f>'Coded Responses'!L22</f>
        <v>Positive</v>
      </c>
      <c r="F22" s="38" t="s">
        <v>515</v>
      </c>
      <c r="G22" s="25" t="str">
        <f t="shared" si="0"/>
        <v>Yes</v>
      </c>
    </row>
    <row r="23" spans="1:7" ht="25.5" customHeight="1" x14ac:dyDescent="0.25">
      <c r="A23" s="25" t="str">
        <f>'Coded Responses'!A23</f>
        <v>R0022</v>
      </c>
      <c r="B23" s="22" t="str">
        <f>'Coded Responses'!J23</f>
        <v>Workload is manageable and well planned. New CRM has made work easier.</v>
      </c>
      <c r="C23" s="22" t="str">
        <f>'Coded Responses'!K23</f>
        <v>Workload; Tools and systems</v>
      </c>
      <c r="D23" s="37" t="s">
        <v>524</v>
      </c>
      <c r="E23" s="25" t="str">
        <f>'Coded Responses'!L23</f>
        <v>Positive</v>
      </c>
      <c r="F23" s="38" t="s">
        <v>515</v>
      </c>
      <c r="G23" s="25" t="str">
        <f t="shared" si="0"/>
        <v>Yes</v>
      </c>
    </row>
    <row r="24" spans="1:7" ht="25.5" customHeight="1" x14ac:dyDescent="0.25">
      <c r="A24" s="25" t="str">
        <f>'Coded Responses'!A24</f>
        <v>R0023</v>
      </c>
      <c r="B24" s="22" t="str">
        <f>'Coded Responses'!J24</f>
        <v>Laptops and tools are good.</v>
      </c>
      <c r="C24" s="22" t="str">
        <f>'Coded Responses'!K24</f>
        <v>Tools and systems</v>
      </c>
      <c r="D24" s="37" t="s">
        <v>528</v>
      </c>
      <c r="E24" s="25" t="str">
        <f>'Coded Responses'!L24</f>
        <v>Positive</v>
      </c>
      <c r="F24" s="38" t="s">
        <v>515</v>
      </c>
      <c r="G24" s="25" t="str">
        <f t="shared" si="0"/>
        <v>Yes</v>
      </c>
    </row>
    <row r="25" spans="1:7" ht="25.5" customHeight="1" x14ac:dyDescent="0.25">
      <c r="A25" s="25" t="str">
        <f>'Coded Responses'!A25</f>
        <v>R0024</v>
      </c>
      <c r="B25" s="22" t="str">
        <f>'Coded Responses'!J25</f>
        <v>Flexible hours are very helpful. I was promoted on time and learnt a lot.</v>
      </c>
      <c r="C25" s="22" t="str">
        <f>'Coded Responses'!K25</f>
        <v>Flexibility; Career growth</v>
      </c>
      <c r="D25" s="37" t="s">
        <v>529</v>
      </c>
      <c r="E25" s="25" t="str">
        <f>'Coded Responses'!L25</f>
        <v>Positive</v>
      </c>
      <c r="F25" s="38" t="s">
        <v>515</v>
      </c>
      <c r="G25" s="25" t="str">
        <f t="shared" si="0"/>
        <v>Yes</v>
      </c>
    </row>
    <row r="26" spans="1:7" ht="25.5" customHeight="1" x14ac:dyDescent="0.25">
      <c r="A26" s="25" t="str">
        <f>'Coded Responses'!A26</f>
        <v>R0025</v>
      </c>
      <c r="B26" s="22" t="str">
        <f>'Coded Responses'!J26</f>
        <v>Feedback only comes during appraisal. We still use too many manual Excel reports.</v>
      </c>
      <c r="C26" s="22" t="str">
        <f>'Coded Responses'!K26</f>
        <v>Manager support; Tools and systems</v>
      </c>
      <c r="D26" s="37" t="s">
        <v>530</v>
      </c>
      <c r="E26" s="25" t="str">
        <f>'Coded Responses'!L26</f>
        <v>Negative</v>
      </c>
      <c r="F26" s="38" t="s">
        <v>519</v>
      </c>
      <c r="G26" s="25" t="str">
        <f t="shared" si="0"/>
        <v>Yes</v>
      </c>
    </row>
    <row r="27" spans="1:7" ht="25.5" customHeight="1" x14ac:dyDescent="0.25">
      <c r="A27" s="25" t="str">
        <f>'Coded Responses'!A27</f>
        <v>R0026</v>
      </c>
      <c r="B27" s="22" t="str">
        <f>'Coded Responses'!J27</f>
        <v>I was promoted on time and learnt a lot. My manager gives regular, useful feedback.</v>
      </c>
      <c r="C27" s="22" t="str">
        <f>'Coded Responses'!K27</f>
        <v>Career growth; Manager support</v>
      </c>
      <c r="D27" s="37" t="s">
        <v>531</v>
      </c>
      <c r="E27" s="25" t="str">
        <f>'Coded Responses'!L27</f>
        <v>Positive</v>
      </c>
      <c r="F27" s="38" t="s">
        <v>515</v>
      </c>
      <c r="G27" s="25" t="str">
        <f t="shared" si="0"/>
        <v>Yes</v>
      </c>
    </row>
    <row r="28" spans="1:7" ht="25.5" customHeight="1" x14ac:dyDescent="0.25">
      <c r="A28" s="25" t="str">
        <f>'Coded Responses'!A28</f>
        <v>R0027</v>
      </c>
      <c r="B28" s="22" t="str">
        <f>'Coded Responses'!J28</f>
        <v>Flexible hours are very helpful.</v>
      </c>
      <c r="C28" s="22" t="str">
        <f>'Coded Responses'!K28</f>
        <v>Flexibility</v>
      </c>
      <c r="D28" s="37" t="s">
        <v>516</v>
      </c>
      <c r="E28" s="25" t="str">
        <f>'Coded Responses'!L28</f>
        <v>Positive</v>
      </c>
      <c r="F28" s="38" t="s">
        <v>515</v>
      </c>
      <c r="G28" s="25" t="str">
        <f t="shared" si="0"/>
        <v>Yes</v>
      </c>
    </row>
    <row r="29" spans="1:7" ht="25.5" customHeight="1" x14ac:dyDescent="0.25">
      <c r="A29" s="25" t="str">
        <f>'Coded Responses'!A29</f>
        <v>R0028</v>
      </c>
      <c r="B29" s="22" t="str">
        <f>'Coded Responses'!J29</f>
        <v>I feel supported by my reporting manager. Flexible hours are very helpful.</v>
      </c>
      <c r="C29" s="22" t="str">
        <f>'Coded Responses'!K29</f>
        <v>Manager support; Flexibility</v>
      </c>
      <c r="D29" s="37" t="s">
        <v>517</v>
      </c>
      <c r="E29" s="25" t="str">
        <f>'Coded Responses'!L29</f>
        <v>Positive</v>
      </c>
      <c r="F29" s="38" t="s">
        <v>515</v>
      </c>
      <c r="G29" s="25" t="str">
        <f t="shared" si="0"/>
        <v>Yes</v>
      </c>
    </row>
    <row r="30" spans="1:7" ht="25.5" customHeight="1" x14ac:dyDescent="0.25">
      <c r="A30" s="25" t="str">
        <f>'Coded Responses'!A30</f>
        <v>R0029</v>
      </c>
      <c r="B30" s="22" t="str">
        <f>'Coded Responses'!J30</f>
        <v>Workload is manageable and well planned. Flexible hours are very helpful.</v>
      </c>
      <c r="C30" s="22" t="str">
        <f>'Coded Responses'!K30</f>
        <v>Workload; Flexibility</v>
      </c>
      <c r="D30" s="37" t="s">
        <v>532</v>
      </c>
      <c r="E30" s="25" t="str">
        <f>'Coded Responses'!L30</f>
        <v>Positive</v>
      </c>
      <c r="F30" s="38" t="s">
        <v>515</v>
      </c>
      <c r="G30" s="25" t="str">
        <f t="shared" si="0"/>
        <v>Yes</v>
      </c>
    </row>
    <row r="31" spans="1:7" ht="25.5" customHeight="1" x14ac:dyDescent="0.25">
      <c r="A31" s="25" t="str">
        <f>'Coded Responses'!A31</f>
        <v>R0030</v>
      </c>
      <c r="B31" s="22" t="str">
        <f>'Coded Responses'!J31</f>
        <v>Health insurance for parents is a big plus. My manager gives regular, useful feedback.</v>
      </c>
      <c r="C31" s="22" t="str">
        <f>'Coded Responses'!K31</f>
        <v>Pay and benefits; Manager support</v>
      </c>
      <c r="D31" s="37" t="s">
        <v>522</v>
      </c>
      <c r="E31" s="25" t="str">
        <f>'Coded Responses'!L31</f>
        <v>Positive</v>
      </c>
      <c r="F31" s="38" t="s">
        <v>515</v>
      </c>
      <c r="G31" s="25" t="str">
        <f t="shared" si="0"/>
        <v>Yes</v>
      </c>
    </row>
    <row r="32" spans="1:7" ht="25.5" customHeight="1" x14ac:dyDescent="0.25">
      <c r="A32" s="25" t="str">
        <f>'Coded Responses'!A32</f>
        <v>R0031</v>
      </c>
      <c r="B32" s="22" t="str">
        <f>'Coded Responses'!J32</f>
        <v>Salary is fair for the market.</v>
      </c>
      <c r="C32" s="22" t="str">
        <f>'Coded Responses'!K32</f>
        <v>Pay and benefits</v>
      </c>
      <c r="D32" s="37" t="s">
        <v>525</v>
      </c>
      <c r="E32" s="25" t="str">
        <f>'Coded Responses'!L32</f>
        <v>Positive</v>
      </c>
      <c r="F32" s="38" t="s">
        <v>515</v>
      </c>
      <c r="G32" s="25" t="str">
        <f t="shared" si="0"/>
        <v>Yes</v>
      </c>
    </row>
    <row r="33" spans="1:7" ht="25.5" customHeight="1" x14ac:dyDescent="0.25">
      <c r="A33" s="25" t="str">
        <f>'Coded Responses'!A33</f>
        <v>R0032</v>
      </c>
      <c r="B33" s="22" t="str">
        <f>'Coded Responses'!J33</f>
        <v>Too many parallel projects; I work most weekends.</v>
      </c>
      <c r="C33" s="22" t="str">
        <f>'Coded Responses'!K33</f>
        <v>Workload</v>
      </c>
      <c r="D33" s="37" t="s">
        <v>521</v>
      </c>
      <c r="E33" s="25" t="str">
        <f>'Coded Responses'!L33</f>
        <v>Negative</v>
      </c>
      <c r="F33" s="38" t="s">
        <v>519</v>
      </c>
      <c r="G33" s="25" t="str">
        <f t="shared" si="0"/>
        <v>Yes</v>
      </c>
    </row>
    <row r="34" spans="1:7" ht="25.5" customHeight="1" x14ac:dyDescent="0.25">
      <c r="A34" s="25" t="str">
        <f>'Coded Responses'!A34</f>
        <v>R0033</v>
      </c>
      <c r="B34" s="22" t="str">
        <f>'Coded Responses'!J34</f>
        <v>Increments did not match inflation this year. Internal jobs go to outsiders first.</v>
      </c>
      <c r="C34" s="22" t="str">
        <f>'Coded Responses'!K34</f>
        <v>Pay and benefits; Career growth</v>
      </c>
      <c r="D34" s="37" t="s">
        <v>523</v>
      </c>
      <c r="E34" s="25" t="str">
        <f>'Coded Responses'!L34</f>
        <v>Negative</v>
      </c>
      <c r="F34" s="38" t="s">
        <v>519</v>
      </c>
      <c r="G34" s="25" t="str">
        <f t="shared" ref="G34:G65" si="1">IF(AND(C34=D34,E34=F34),"Yes","No")</f>
        <v>Yes</v>
      </c>
    </row>
    <row r="35" spans="1:7" ht="25.5" customHeight="1" x14ac:dyDescent="0.25">
      <c r="A35" s="25" t="str">
        <f>'Coded Responses'!A35</f>
        <v>R0034</v>
      </c>
      <c r="B35" s="22" t="str">
        <f>'Coded Responses'!J35</f>
        <v>New CRM has made work easier. Workload is manageable and well planned.</v>
      </c>
      <c r="C35" s="22" t="str">
        <f>'Coded Responses'!K35</f>
        <v>Tools and systems; Workload</v>
      </c>
      <c r="D35" s="37" t="s">
        <v>533</v>
      </c>
      <c r="E35" s="25" t="str">
        <f>'Coded Responses'!L35</f>
        <v>Positive</v>
      </c>
      <c r="F35" s="38" t="s">
        <v>515</v>
      </c>
      <c r="G35" s="25" t="str">
        <f t="shared" si="1"/>
        <v>Yes</v>
      </c>
    </row>
    <row r="36" spans="1:7" ht="25.5" customHeight="1" x14ac:dyDescent="0.25">
      <c r="A36" s="25" t="str">
        <f>'Coded Responses'!A36</f>
        <v>R0035</v>
      </c>
      <c r="B36" s="22" t="str">
        <f>'Coded Responses'!J36</f>
        <v>Health insurance for parents is a big plus. Hybrid work helps me balance family.</v>
      </c>
      <c r="C36" s="22" t="str">
        <f>'Coded Responses'!K36</f>
        <v>Pay and benefits; Flexibility</v>
      </c>
      <c r="D36" s="37" t="s">
        <v>534</v>
      </c>
      <c r="E36" s="25" t="str">
        <f>'Coded Responses'!L36</f>
        <v>Positive</v>
      </c>
      <c r="F36" s="38" t="s">
        <v>515</v>
      </c>
      <c r="G36" s="25" t="str">
        <f t="shared" si="1"/>
        <v>Yes</v>
      </c>
    </row>
    <row r="37" spans="1:7" ht="25.5" customHeight="1" x14ac:dyDescent="0.25">
      <c r="A37" s="25" t="str">
        <f>'Coded Responses'!A37</f>
        <v>R0036</v>
      </c>
      <c r="B37" s="22" t="str">
        <f>'Coded Responses'!J37</f>
        <v>New CRM has made work easier. Health insurance for parents is a big plus.</v>
      </c>
      <c r="C37" s="22" t="str">
        <f>'Coded Responses'!K37</f>
        <v>Tools and systems; Pay and benefits</v>
      </c>
      <c r="D37" s="37" t="s">
        <v>535</v>
      </c>
      <c r="E37" s="25" t="str">
        <f>'Coded Responses'!L37</f>
        <v>Positive</v>
      </c>
      <c r="F37" s="38" t="s">
        <v>515</v>
      </c>
      <c r="G37" s="25" t="str">
        <f t="shared" si="1"/>
        <v>Yes</v>
      </c>
    </row>
    <row r="38" spans="1:7" ht="25.5" customHeight="1" x14ac:dyDescent="0.25">
      <c r="A38" s="25" t="str">
        <f>'Coded Responses'!A38</f>
        <v>R0037</v>
      </c>
      <c r="B38" s="22" t="str">
        <f>'Coded Responses'!J38</f>
        <v>Internal jobs go to outsiders first. Leave approvals are very slow.</v>
      </c>
      <c r="C38" s="22" t="str">
        <f>'Coded Responses'!K38</f>
        <v>Career growth; Flexibility</v>
      </c>
      <c r="D38" s="37" t="s">
        <v>536</v>
      </c>
      <c r="E38" s="25" t="str">
        <f>'Coded Responses'!L38</f>
        <v>Negative</v>
      </c>
      <c r="F38" s="38" t="s">
        <v>519</v>
      </c>
      <c r="G38" s="25" t="str">
        <f t="shared" si="1"/>
        <v>Yes</v>
      </c>
    </row>
    <row r="39" spans="1:7" ht="25.5" customHeight="1" x14ac:dyDescent="0.25">
      <c r="A39" s="25" t="str">
        <f>'Coded Responses'!A39</f>
        <v>R0038</v>
      </c>
      <c r="B39" s="22" t="str">
        <f>'Coded Responses'!J39</f>
        <v>Workload is manageable and well planned. Health insurance for parents is a big plus.</v>
      </c>
      <c r="C39" s="22" t="str">
        <f>'Coded Responses'!K39</f>
        <v>Workload; Pay and benefits</v>
      </c>
      <c r="D39" s="37" t="s">
        <v>537</v>
      </c>
      <c r="E39" s="25" t="str">
        <f>'Coded Responses'!L39</f>
        <v>Positive</v>
      </c>
      <c r="F39" s="38" t="s">
        <v>515</v>
      </c>
      <c r="G39" s="25" t="str">
        <f t="shared" si="1"/>
        <v>Yes</v>
      </c>
    </row>
    <row r="40" spans="1:7" ht="25.5" customHeight="1" x14ac:dyDescent="0.25">
      <c r="A40" s="25" t="str">
        <f>'Coded Responses'!A40</f>
        <v>R0039</v>
      </c>
      <c r="B40" s="22" t="str">
        <f>'Coded Responses'!J40</f>
        <v>Laptops and tools are good.</v>
      </c>
      <c r="C40" s="22" t="str">
        <f>'Coded Responses'!K40</f>
        <v>Tools and systems</v>
      </c>
      <c r="D40" s="37" t="s">
        <v>528</v>
      </c>
      <c r="E40" s="25" t="str">
        <f>'Coded Responses'!L40</f>
        <v>Positive</v>
      </c>
      <c r="F40" s="38" t="s">
        <v>515</v>
      </c>
      <c r="G40" s="25" t="str">
        <f t="shared" si="1"/>
        <v>Yes</v>
      </c>
    </row>
    <row r="41" spans="1:7" ht="25.5" customHeight="1" x14ac:dyDescent="0.25">
      <c r="A41" s="25" t="str">
        <f>'Coded Responses'!A41</f>
        <v>R0040</v>
      </c>
      <c r="B41" s="22" t="str">
        <f>'Coded Responses'!J41</f>
        <v>Workload is manageable and well planned. Laptops and tools are good.</v>
      </c>
      <c r="C41" s="22" t="str">
        <f>'Coded Responses'!K41</f>
        <v>Workload; Tools and systems</v>
      </c>
      <c r="D41" s="37" t="s">
        <v>524</v>
      </c>
      <c r="E41" s="25" t="str">
        <f>'Coded Responses'!L41</f>
        <v>Positive</v>
      </c>
      <c r="F41" s="38" t="s">
        <v>515</v>
      </c>
      <c r="G41" s="25" t="str">
        <f t="shared" si="1"/>
        <v>Yes</v>
      </c>
    </row>
    <row r="42" spans="1:7" ht="25.5" customHeight="1" x14ac:dyDescent="0.25">
      <c r="A42" s="25" t="str">
        <f>'Coded Responses'!A42</f>
        <v>R0041</v>
      </c>
      <c r="B42" s="22" t="str">
        <f>'Coded Responses'!J42</f>
        <v>My manager gives regular, useful feedback. Workload is manageable and well planned.</v>
      </c>
      <c r="C42" s="22" t="str">
        <f>'Coded Responses'!K42</f>
        <v>Manager support; Workload</v>
      </c>
      <c r="D42" s="37" t="s">
        <v>538</v>
      </c>
      <c r="E42" s="25" t="str">
        <f>'Coded Responses'!L42</f>
        <v>Positive</v>
      </c>
      <c r="F42" s="38" t="s">
        <v>515</v>
      </c>
      <c r="G42" s="25" t="str">
        <f t="shared" si="1"/>
        <v>Yes</v>
      </c>
    </row>
    <row r="43" spans="1:7" ht="25.5" customHeight="1" x14ac:dyDescent="0.25">
      <c r="A43" s="25" t="str">
        <f>'Coded Responses'!A43</f>
        <v>R0042</v>
      </c>
      <c r="B43" s="22" t="str">
        <f>'Coded Responses'!J43</f>
        <v>Feedback only comes during appraisal.</v>
      </c>
      <c r="C43" s="22" t="str">
        <f>'Coded Responses'!K43</f>
        <v>Manager support</v>
      </c>
      <c r="D43" s="37" t="s">
        <v>514</v>
      </c>
      <c r="E43" s="25" t="str">
        <f>'Coded Responses'!L43</f>
        <v>Negative</v>
      </c>
      <c r="F43" s="38" t="s">
        <v>519</v>
      </c>
      <c r="G43" s="25" t="str">
        <f t="shared" si="1"/>
        <v>Yes</v>
      </c>
    </row>
    <row r="44" spans="1:7" ht="25.5" customHeight="1" x14ac:dyDescent="0.25">
      <c r="A44" s="25" t="str">
        <f>'Coded Responses'!A44</f>
        <v>R0043</v>
      </c>
      <c r="B44" s="22" t="str">
        <f>'Coded Responses'!J44</f>
        <v>Salary is fair for the market.</v>
      </c>
      <c r="C44" s="22" t="str">
        <f>'Coded Responses'!K44</f>
        <v>Pay and benefits</v>
      </c>
      <c r="D44" s="37" t="s">
        <v>525</v>
      </c>
      <c r="E44" s="25" t="str">
        <f>'Coded Responses'!L44</f>
        <v>Positive</v>
      </c>
      <c r="F44" s="38" t="s">
        <v>515</v>
      </c>
      <c r="G44" s="25" t="str">
        <f t="shared" si="1"/>
        <v>Yes</v>
      </c>
    </row>
    <row r="45" spans="1:7" ht="25.5" customHeight="1" x14ac:dyDescent="0.25">
      <c r="A45" s="25" t="str">
        <f>'Coded Responses'!A45</f>
        <v>R0044</v>
      </c>
      <c r="B45" s="22" t="str">
        <f>'Coded Responses'!J45</f>
        <v>Increments did not match inflation this year. Feedback only comes during appraisal.</v>
      </c>
      <c r="C45" s="22" t="str">
        <f>'Coded Responses'!K45</f>
        <v>Pay and benefits; Manager support</v>
      </c>
      <c r="D45" s="37" t="s">
        <v>522</v>
      </c>
      <c r="E45" s="25" t="str">
        <f>'Coded Responses'!L45</f>
        <v>Negative</v>
      </c>
      <c r="F45" s="38" t="s">
        <v>519</v>
      </c>
      <c r="G45" s="25" t="str">
        <f t="shared" si="1"/>
        <v>Yes</v>
      </c>
    </row>
    <row r="46" spans="1:7" ht="25.5" customHeight="1" x14ac:dyDescent="0.25">
      <c r="A46" s="25" t="str">
        <f>'Coded Responses'!A46</f>
        <v>R0045</v>
      </c>
      <c r="B46" s="22" t="str">
        <f>'Coded Responses'!J46</f>
        <v>My manager gives regular, useful feedback.</v>
      </c>
      <c r="C46" s="22" t="str">
        <f>'Coded Responses'!K46</f>
        <v>Manager support</v>
      </c>
      <c r="D46" s="37" t="s">
        <v>514</v>
      </c>
      <c r="E46" s="25" t="str">
        <f>'Coded Responses'!L46</f>
        <v>Positive</v>
      </c>
      <c r="F46" s="38" t="s">
        <v>515</v>
      </c>
      <c r="G46" s="25" t="str">
        <f t="shared" si="1"/>
        <v>Yes</v>
      </c>
    </row>
    <row r="47" spans="1:7" ht="25.5" customHeight="1" x14ac:dyDescent="0.25">
      <c r="A47" s="25" t="str">
        <f>'Coded Responses'!A47</f>
        <v>R0046</v>
      </c>
      <c r="B47" s="22" t="str">
        <f>'Coded Responses'!J47</f>
        <v>Staff shortage means we do two people's work.</v>
      </c>
      <c r="C47" s="22" t="str">
        <f>'Coded Responses'!K47</f>
        <v>Workload</v>
      </c>
      <c r="D47" s="37" t="s">
        <v>521</v>
      </c>
      <c r="E47" s="25" t="str">
        <f>'Coded Responses'!L47</f>
        <v>Negative</v>
      </c>
      <c r="F47" s="38" t="s">
        <v>519</v>
      </c>
      <c r="G47" s="25" t="str">
        <f t="shared" si="1"/>
        <v>Yes</v>
      </c>
    </row>
    <row r="48" spans="1:7" ht="25.5" customHeight="1" x14ac:dyDescent="0.25">
      <c r="A48" s="25" t="str">
        <f>'Coded Responses'!A48</f>
        <v>R0047</v>
      </c>
      <c r="B48" s="22" t="str">
        <f>'Coded Responses'!J48</f>
        <v>Flexible hours are very helpful.</v>
      </c>
      <c r="C48" s="22" t="str">
        <f>'Coded Responses'!K48</f>
        <v>Flexibility</v>
      </c>
      <c r="D48" s="37" t="s">
        <v>516</v>
      </c>
      <c r="E48" s="25" t="str">
        <f>'Coded Responses'!L48</f>
        <v>Positive</v>
      </c>
      <c r="F48" s="38" t="s">
        <v>515</v>
      </c>
      <c r="G48" s="25" t="str">
        <f t="shared" si="1"/>
        <v>Yes</v>
      </c>
    </row>
    <row r="49" spans="1:7" ht="25.5" customHeight="1" x14ac:dyDescent="0.25">
      <c r="A49" s="25" t="str">
        <f>'Coded Responses'!A49</f>
        <v>R0048</v>
      </c>
      <c r="B49" s="22" t="str">
        <f>'Coded Responses'!J49</f>
        <v>No clear promotion criteria. Too many parallel projects; I work most weekends.</v>
      </c>
      <c r="C49" s="22" t="str">
        <f>'Coded Responses'!K49</f>
        <v>Career growth; Workload</v>
      </c>
      <c r="D49" s="37" t="s">
        <v>539</v>
      </c>
      <c r="E49" s="25" t="str">
        <f>'Coded Responses'!L49</f>
        <v>Negative</v>
      </c>
      <c r="F49" s="38" t="s">
        <v>519</v>
      </c>
      <c r="G49" s="25" t="str">
        <f t="shared" si="1"/>
        <v>Yes</v>
      </c>
    </row>
    <row r="50" spans="1:7" ht="25.5" customHeight="1" x14ac:dyDescent="0.25">
      <c r="A50" s="25" t="str">
        <f>'Coded Responses'!A50</f>
        <v>R0049</v>
      </c>
      <c r="B50" s="22" t="str">
        <f>'Coded Responses'!J50</f>
        <v>Increments did not match inflation this year.</v>
      </c>
      <c r="C50" s="22" t="str">
        <f>'Coded Responses'!K50</f>
        <v>Pay and benefits</v>
      </c>
      <c r="D50" s="37" t="s">
        <v>525</v>
      </c>
      <c r="E50" s="25" t="str">
        <f>'Coded Responses'!L50</f>
        <v>Negative</v>
      </c>
      <c r="F50" s="38" t="s">
        <v>519</v>
      </c>
      <c r="G50" s="25" t="str">
        <f t="shared" si="1"/>
        <v>Yes</v>
      </c>
    </row>
    <row r="51" spans="1:7" ht="25.5" customHeight="1" x14ac:dyDescent="0.25">
      <c r="A51" s="25" t="str">
        <f>'Coded Responses'!A51</f>
        <v>R0050</v>
      </c>
      <c r="B51" s="22" t="str">
        <f>'Coded Responses'!J51</f>
        <v>My manager rarely has time for one-on-ones. Systems are slow and crash often.</v>
      </c>
      <c r="C51" s="22" t="str">
        <f>'Coded Responses'!K51</f>
        <v>Manager support; Tools and systems</v>
      </c>
      <c r="D51" s="37" t="s">
        <v>530</v>
      </c>
      <c r="E51" s="25" t="str">
        <f>'Coded Responses'!L51</f>
        <v>Negative</v>
      </c>
      <c r="F51" s="38" t="s">
        <v>519</v>
      </c>
      <c r="G51" s="25" t="str">
        <f t="shared" si="1"/>
        <v>Yes</v>
      </c>
    </row>
  </sheetData>
  <autoFilter ref="A1:G51" xr:uid="{00000000-0009-0000-0000-00000A000000}"/>
  <mergeCells count="3">
    <mergeCell ref="I7:K7"/>
    <mergeCell ref="I8:K8"/>
    <mergeCell ref="I9:K9"/>
  </mergeCells>
  <conditionalFormatting sqref="G2:G51">
    <cfRule type="cellIs" dxfId="1" priority="2" operator="equal">
      <formula>"No"</formula>
    </cfRule>
    <cfRule type="cellIs" dxfId="0" priority="3" operator="equal">
      <formula>"Yes"</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Task Brief</vt:lpstr>
      <vt:lpstr>Responses</vt:lpstr>
      <vt:lpstr>Gold Labels (evaluation)</vt:lpstr>
      <vt:lpstr>Data Dictionary</vt:lpstr>
      <vt:lpstr>AI Use Log</vt:lpstr>
      <vt:lpstr>Codebook</vt:lpstr>
      <vt:lpstr>Coded Responses</vt:lpstr>
      <vt:lpstr>Theme Counts</vt:lpstr>
      <vt:lpstr>Likert Summary</vt:lpstr>
      <vt:lpstr>Theme vs Likert</vt:lpstr>
      <vt:lpstr>Accuracy Check (50 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 Agarwal</dc:creator>
  <cp:lastModifiedBy>Risha Agarwal</cp:lastModifiedBy>
  <dcterms:created xsi:type="dcterms:W3CDTF">2026-10-04T02:36:41Z</dcterms:created>
  <dcterms:modified xsi:type="dcterms:W3CDTF">2026-10-04T02:43:42Z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2026-09-25T16:15:29Z</dcterms:created>
  <dc:creator>openpyxl</dc:creator>
  <dc:description/>
  <dc:language>en-US</dc:language>
  <cp:lastModifiedBy>Risha Agarwal</cp:lastModifiedBy>
  <dcterms:modified xsi:type="dcterms:W3CDTF">2026-10-04T02:25:41Z</dcterms:modified>
  <cp:revision>0</cp:revision>
  <dc:subject/>
  <dc:title/>
</cp:coreProperties>
</file>